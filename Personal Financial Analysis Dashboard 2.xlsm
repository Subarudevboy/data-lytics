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19" codeName="{00000000-0000-0000-0000-0000000000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ives\Documents\Mooc's\Excel\Interactive Microsoft Excel Dashboard for Data Analyst 2022\2. Personal Expenses DB\"/>
    </mc:Choice>
  </mc:AlternateContent>
  <xr:revisionPtr revIDLastSave="0" documentId="8_{FB294AF2-B0C9-4DE1-ADE8-3C488C821D81}" xr6:coauthVersionLast="47" xr6:coauthVersionMax="47" xr10:uidLastSave="{00000000-0000-0000-0000-000000000000}"/>
  <bookViews>
    <workbookView xWindow="-98" yWindow="-98" windowWidth="14595" windowHeight="9076" tabRatio="594" xr2:uid="{65413B0E-DDC6-419D-869E-C7057D34DCD4}"/>
  </bookViews>
  <sheets>
    <sheet name="PF Data" sheetId="1" r:id="rId1"/>
  </sheets>
  <externalReferences>
    <externalReference r:id="rId2"/>
  </externalReferences>
  <definedNames>
    <definedName name="_xlchart.v5.0" hidden="1">#REF!</definedName>
    <definedName name="_xlchart.v5.1" hidden="1">#REF!</definedName>
    <definedName name="_xlchart.v5.2" hidden="1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33" i="1" l="1"/>
  <c r="I333" i="1"/>
  <c r="J333" i="1"/>
  <c r="H276" i="1"/>
  <c r="I276" i="1"/>
  <c r="J276" i="1"/>
  <c r="H182" i="1"/>
  <c r="I182" i="1"/>
  <c r="J182" i="1"/>
  <c r="H23" i="1"/>
  <c r="I23" i="1"/>
  <c r="J23" i="1"/>
  <c r="H61" i="1"/>
  <c r="I61" i="1"/>
  <c r="J61" i="1"/>
  <c r="H122" i="1" l="1"/>
  <c r="H2" i="1" l="1"/>
  <c r="I2" i="1"/>
  <c r="J2" i="1"/>
  <c r="H3" i="1"/>
  <c r="I3" i="1"/>
  <c r="J3" i="1"/>
  <c r="H4" i="1"/>
  <c r="I4" i="1"/>
  <c r="J4" i="1"/>
  <c r="H5" i="1"/>
  <c r="I5" i="1"/>
  <c r="J5" i="1"/>
  <c r="H6" i="1"/>
  <c r="I6" i="1"/>
  <c r="J6" i="1"/>
  <c r="H7" i="1"/>
  <c r="I7" i="1"/>
  <c r="J7" i="1"/>
  <c r="H8" i="1"/>
  <c r="I8" i="1"/>
  <c r="J8" i="1"/>
  <c r="H9" i="1"/>
  <c r="I9" i="1"/>
  <c r="J9" i="1"/>
  <c r="H10" i="1"/>
  <c r="I10" i="1"/>
  <c r="J10" i="1"/>
  <c r="H11" i="1"/>
  <c r="I11" i="1"/>
  <c r="J11" i="1"/>
  <c r="H12" i="1"/>
  <c r="I12" i="1"/>
  <c r="J12" i="1"/>
  <c r="H13" i="1"/>
  <c r="I13" i="1"/>
  <c r="J13" i="1"/>
  <c r="H14" i="1"/>
  <c r="I14" i="1"/>
  <c r="J14" i="1"/>
  <c r="H15" i="1"/>
  <c r="I15" i="1"/>
  <c r="J15" i="1"/>
  <c r="H16" i="1"/>
  <c r="I16" i="1"/>
  <c r="J16" i="1"/>
  <c r="H17" i="1"/>
  <c r="I17" i="1"/>
  <c r="J17" i="1"/>
  <c r="H18" i="1"/>
  <c r="I18" i="1"/>
  <c r="J18" i="1"/>
  <c r="H19" i="1"/>
  <c r="I19" i="1"/>
  <c r="J19" i="1"/>
  <c r="H20" i="1"/>
  <c r="I20" i="1"/>
  <c r="J20" i="1"/>
  <c r="H21" i="1"/>
  <c r="I21" i="1"/>
  <c r="J21" i="1"/>
  <c r="H22" i="1"/>
  <c r="I22" i="1"/>
  <c r="J22" i="1"/>
  <c r="H24" i="1"/>
  <c r="I24" i="1"/>
  <c r="J24" i="1"/>
  <c r="H25" i="1"/>
  <c r="I25" i="1"/>
  <c r="J25" i="1"/>
  <c r="H26" i="1"/>
  <c r="I26" i="1"/>
  <c r="J26" i="1"/>
  <c r="H27" i="1"/>
  <c r="I27" i="1"/>
  <c r="J27" i="1"/>
  <c r="H28" i="1"/>
  <c r="I28" i="1"/>
  <c r="J28" i="1"/>
  <c r="H29" i="1"/>
  <c r="I29" i="1"/>
  <c r="J29" i="1"/>
  <c r="H30" i="1"/>
  <c r="I30" i="1"/>
  <c r="J30" i="1"/>
  <c r="H31" i="1"/>
  <c r="I31" i="1"/>
  <c r="J31" i="1"/>
  <c r="H32" i="1"/>
  <c r="I32" i="1"/>
  <c r="J32" i="1"/>
  <c r="H33" i="1"/>
  <c r="I33" i="1"/>
  <c r="J33" i="1"/>
  <c r="H34" i="1"/>
  <c r="I34" i="1"/>
  <c r="J34" i="1"/>
  <c r="H35" i="1"/>
  <c r="I35" i="1"/>
  <c r="J35" i="1"/>
  <c r="H36" i="1"/>
  <c r="I36" i="1"/>
  <c r="J36" i="1"/>
  <c r="H37" i="1"/>
  <c r="I37" i="1"/>
  <c r="J37" i="1"/>
  <c r="H38" i="1"/>
  <c r="I38" i="1"/>
  <c r="J38" i="1"/>
  <c r="H39" i="1"/>
  <c r="I39" i="1"/>
  <c r="J39" i="1"/>
  <c r="H40" i="1"/>
  <c r="I40" i="1"/>
  <c r="J40" i="1"/>
  <c r="H41" i="1"/>
  <c r="I41" i="1"/>
  <c r="J41" i="1"/>
  <c r="H42" i="1"/>
  <c r="I42" i="1"/>
  <c r="J42" i="1"/>
  <c r="H43" i="1"/>
  <c r="I43" i="1"/>
  <c r="J43" i="1"/>
  <c r="H44" i="1"/>
  <c r="I44" i="1"/>
  <c r="J44" i="1"/>
  <c r="H45" i="1"/>
  <c r="I45" i="1"/>
  <c r="J45" i="1"/>
  <c r="H46" i="1"/>
  <c r="I46" i="1"/>
  <c r="J46" i="1"/>
  <c r="H47" i="1"/>
  <c r="I47" i="1"/>
  <c r="J47" i="1"/>
  <c r="H48" i="1"/>
  <c r="I48" i="1"/>
  <c r="J48" i="1"/>
  <c r="H49" i="1"/>
  <c r="I49" i="1"/>
  <c r="J49" i="1"/>
  <c r="H50" i="1"/>
  <c r="I50" i="1"/>
  <c r="J50" i="1"/>
  <c r="H51" i="1"/>
  <c r="I51" i="1"/>
  <c r="J51" i="1"/>
  <c r="H52" i="1"/>
  <c r="I52" i="1"/>
  <c r="J52" i="1"/>
  <c r="H53" i="1"/>
  <c r="I53" i="1"/>
  <c r="J53" i="1"/>
  <c r="H54" i="1"/>
  <c r="I54" i="1"/>
  <c r="J54" i="1"/>
  <c r="H55" i="1"/>
  <c r="I55" i="1"/>
  <c r="J55" i="1"/>
  <c r="H56" i="1"/>
  <c r="I56" i="1"/>
  <c r="J56" i="1"/>
  <c r="H57" i="1"/>
  <c r="I57" i="1"/>
  <c r="J57" i="1"/>
  <c r="H58" i="1"/>
  <c r="I58" i="1"/>
  <c r="J58" i="1"/>
  <c r="H59" i="1"/>
  <c r="I59" i="1"/>
  <c r="J59" i="1"/>
  <c r="H60" i="1"/>
  <c r="I60" i="1"/>
  <c r="J60" i="1"/>
  <c r="H62" i="1"/>
  <c r="I62" i="1"/>
  <c r="J62" i="1"/>
  <c r="H63" i="1"/>
  <c r="I63" i="1"/>
  <c r="J63" i="1"/>
  <c r="H64" i="1"/>
  <c r="I64" i="1"/>
  <c r="J64" i="1"/>
  <c r="H65" i="1"/>
  <c r="I65" i="1"/>
  <c r="J65" i="1"/>
  <c r="H66" i="1"/>
  <c r="I66" i="1"/>
  <c r="J66" i="1"/>
  <c r="H67" i="1"/>
  <c r="I67" i="1"/>
  <c r="J67" i="1"/>
  <c r="H68" i="1"/>
  <c r="I68" i="1"/>
  <c r="J68" i="1"/>
  <c r="H69" i="1"/>
  <c r="I69" i="1"/>
  <c r="J69" i="1"/>
  <c r="H70" i="1"/>
  <c r="I70" i="1"/>
  <c r="J70" i="1"/>
  <c r="H71" i="1"/>
  <c r="I71" i="1"/>
  <c r="J71" i="1"/>
  <c r="H72" i="1"/>
  <c r="I72" i="1"/>
  <c r="J72" i="1"/>
  <c r="H73" i="1"/>
  <c r="I73" i="1"/>
  <c r="J73" i="1"/>
  <c r="H74" i="1"/>
  <c r="I74" i="1"/>
  <c r="J74" i="1"/>
  <c r="H75" i="1"/>
  <c r="I75" i="1"/>
  <c r="J75" i="1"/>
  <c r="H76" i="1"/>
  <c r="I76" i="1"/>
  <c r="J76" i="1"/>
  <c r="H77" i="1"/>
  <c r="I77" i="1"/>
  <c r="J77" i="1"/>
  <c r="H78" i="1"/>
  <c r="I78" i="1"/>
  <c r="J78" i="1"/>
  <c r="H79" i="1"/>
  <c r="I79" i="1"/>
  <c r="J79" i="1"/>
  <c r="H80" i="1"/>
  <c r="I80" i="1"/>
  <c r="J80" i="1"/>
  <c r="H81" i="1"/>
  <c r="I81" i="1"/>
  <c r="J81" i="1"/>
  <c r="H82" i="1"/>
  <c r="I82" i="1"/>
  <c r="J82" i="1"/>
  <c r="H83" i="1"/>
  <c r="I83" i="1"/>
  <c r="J83" i="1"/>
  <c r="H84" i="1"/>
  <c r="I84" i="1"/>
  <c r="J84" i="1"/>
  <c r="H85" i="1"/>
  <c r="I85" i="1"/>
  <c r="J85" i="1"/>
  <c r="H86" i="1"/>
  <c r="I86" i="1"/>
  <c r="J86" i="1"/>
  <c r="H87" i="1"/>
  <c r="I87" i="1"/>
  <c r="J87" i="1"/>
  <c r="H88" i="1"/>
  <c r="I88" i="1"/>
  <c r="J88" i="1"/>
  <c r="H89" i="1"/>
  <c r="I89" i="1"/>
  <c r="J89" i="1"/>
  <c r="H90" i="1"/>
  <c r="I90" i="1"/>
  <c r="J90" i="1"/>
  <c r="H91" i="1"/>
  <c r="I91" i="1"/>
  <c r="J91" i="1"/>
  <c r="H92" i="1"/>
  <c r="I92" i="1"/>
  <c r="J92" i="1"/>
  <c r="H93" i="1"/>
  <c r="I93" i="1"/>
  <c r="J93" i="1"/>
  <c r="H94" i="1"/>
  <c r="I94" i="1"/>
  <c r="J94" i="1"/>
  <c r="H95" i="1"/>
  <c r="I95" i="1"/>
  <c r="J95" i="1"/>
  <c r="H96" i="1"/>
  <c r="I96" i="1"/>
  <c r="J96" i="1"/>
  <c r="H97" i="1"/>
  <c r="I97" i="1"/>
  <c r="J97" i="1"/>
  <c r="H98" i="1"/>
  <c r="I98" i="1"/>
  <c r="J98" i="1"/>
  <c r="H99" i="1"/>
  <c r="I99" i="1"/>
  <c r="J99" i="1"/>
  <c r="H100" i="1"/>
  <c r="I100" i="1"/>
  <c r="J100" i="1"/>
  <c r="H101" i="1"/>
  <c r="I101" i="1"/>
  <c r="J101" i="1"/>
  <c r="H102" i="1"/>
  <c r="I102" i="1"/>
  <c r="J102" i="1"/>
  <c r="H103" i="1"/>
  <c r="I103" i="1"/>
  <c r="J103" i="1"/>
  <c r="H104" i="1"/>
  <c r="I104" i="1"/>
  <c r="J104" i="1"/>
  <c r="H105" i="1"/>
  <c r="I105" i="1"/>
  <c r="J105" i="1"/>
  <c r="H106" i="1"/>
  <c r="I106" i="1"/>
  <c r="J106" i="1"/>
  <c r="H107" i="1"/>
  <c r="I107" i="1"/>
  <c r="J107" i="1"/>
  <c r="H108" i="1"/>
  <c r="I108" i="1"/>
  <c r="J108" i="1"/>
  <c r="H109" i="1"/>
  <c r="I109" i="1"/>
  <c r="J109" i="1"/>
  <c r="H110" i="1"/>
  <c r="I110" i="1"/>
  <c r="J110" i="1"/>
  <c r="H111" i="1"/>
  <c r="I111" i="1"/>
  <c r="J111" i="1"/>
  <c r="H112" i="1"/>
  <c r="I112" i="1"/>
  <c r="J112" i="1"/>
  <c r="H113" i="1"/>
  <c r="I113" i="1"/>
  <c r="J113" i="1"/>
  <c r="H114" i="1"/>
  <c r="I114" i="1"/>
  <c r="J114" i="1"/>
  <c r="H115" i="1"/>
  <c r="I115" i="1"/>
  <c r="J115" i="1"/>
  <c r="H116" i="1"/>
  <c r="I116" i="1"/>
  <c r="J116" i="1"/>
  <c r="H117" i="1"/>
  <c r="I117" i="1"/>
  <c r="J117" i="1"/>
  <c r="H118" i="1"/>
  <c r="I118" i="1"/>
  <c r="J118" i="1"/>
  <c r="H119" i="1"/>
  <c r="I119" i="1"/>
  <c r="J119" i="1"/>
  <c r="H120" i="1"/>
  <c r="I120" i="1"/>
  <c r="J120" i="1"/>
  <c r="H121" i="1"/>
  <c r="I121" i="1"/>
  <c r="J121" i="1"/>
  <c r="I122" i="1"/>
  <c r="J122" i="1"/>
  <c r="H123" i="1"/>
  <c r="I123" i="1"/>
  <c r="J123" i="1"/>
  <c r="H124" i="1"/>
  <c r="I124" i="1"/>
  <c r="J124" i="1"/>
  <c r="H125" i="1"/>
  <c r="I125" i="1"/>
  <c r="J125" i="1"/>
  <c r="H126" i="1"/>
  <c r="I126" i="1"/>
  <c r="J126" i="1"/>
  <c r="H127" i="1"/>
  <c r="I127" i="1"/>
  <c r="J127" i="1"/>
  <c r="H128" i="1"/>
  <c r="I128" i="1"/>
  <c r="J128" i="1"/>
  <c r="H129" i="1"/>
  <c r="I129" i="1"/>
  <c r="J129" i="1"/>
  <c r="H130" i="1"/>
  <c r="I130" i="1"/>
  <c r="J130" i="1"/>
  <c r="H131" i="1"/>
  <c r="I131" i="1"/>
  <c r="J131" i="1"/>
  <c r="H132" i="1"/>
  <c r="I132" i="1"/>
  <c r="J132" i="1"/>
  <c r="H133" i="1"/>
  <c r="I133" i="1"/>
  <c r="J133" i="1"/>
  <c r="H134" i="1"/>
  <c r="I134" i="1"/>
  <c r="J134" i="1"/>
  <c r="H135" i="1"/>
  <c r="I135" i="1"/>
  <c r="J135" i="1"/>
  <c r="H136" i="1"/>
  <c r="I136" i="1"/>
  <c r="J136" i="1"/>
  <c r="H137" i="1"/>
  <c r="I137" i="1"/>
  <c r="J137" i="1"/>
  <c r="H138" i="1"/>
  <c r="I138" i="1"/>
  <c r="J138" i="1"/>
  <c r="H139" i="1"/>
  <c r="I139" i="1"/>
  <c r="J139" i="1"/>
  <c r="H140" i="1"/>
  <c r="I140" i="1"/>
  <c r="J140" i="1"/>
  <c r="H141" i="1"/>
  <c r="I141" i="1"/>
  <c r="J141" i="1"/>
  <c r="H142" i="1"/>
  <c r="I142" i="1"/>
  <c r="J142" i="1"/>
  <c r="H143" i="1"/>
  <c r="I143" i="1"/>
  <c r="J143" i="1"/>
  <c r="H144" i="1"/>
  <c r="I144" i="1"/>
  <c r="J144" i="1"/>
  <c r="H145" i="1"/>
  <c r="I145" i="1"/>
  <c r="J145" i="1"/>
  <c r="H146" i="1"/>
  <c r="I146" i="1"/>
  <c r="J146" i="1"/>
  <c r="H147" i="1"/>
  <c r="I147" i="1"/>
  <c r="J147" i="1"/>
  <c r="H148" i="1"/>
  <c r="I148" i="1"/>
  <c r="J148" i="1"/>
  <c r="H149" i="1"/>
  <c r="I149" i="1"/>
  <c r="J149" i="1"/>
  <c r="H150" i="1"/>
  <c r="I150" i="1"/>
  <c r="J150" i="1"/>
  <c r="H151" i="1"/>
  <c r="I151" i="1"/>
  <c r="J151" i="1"/>
  <c r="H152" i="1"/>
  <c r="I152" i="1"/>
  <c r="J152" i="1"/>
  <c r="H153" i="1"/>
  <c r="I153" i="1"/>
  <c r="J153" i="1"/>
  <c r="H154" i="1"/>
  <c r="I154" i="1"/>
  <c r="J154" i="1"/>
  <c r="H155" i="1"/>
  <c r="I155" i="1"/>
  <c r="J155" i="1"/>
  <c r="H156" i="1"/>
  <c r="I156" i="1"/>
  <c r="J156" i="1"/>
  <c r="H157" i="1"/>
  <c r="I157" i="1"/>
  <c r="J157" i="1"/>
  <c r="H158" i="1"/>
  <c r="I158" i="1"/>
  <c r="J158" i="1"/>
  <c r="H159" i="1"/>
  <c r="I159" i="1"/>
  <c r="J159" i="1"/>
  <c r="H160" i="1"/>
  <c r="I160" i="1"/>
  <c r="J160" i="1"/>
  <c r="H161" i="1"/>
  <c r="I161" i="1"/>
  <c r="J161" i="1"/>
  <c r="H162" i="1"/>
  <c r="I162" i="1"/>
  <c r="J162" i="1"/>
  <c r="H163" i="1"/>
  <c r="I163" i="1"/>
  <c r="J163" i="1"/>
  <c r="H164" i="1"/>
  <c r="I164" i="1"/>
  <c r="J164" i="1"/>
  <c r="H165" i="1"/>
  <c r="I165" i="1"/>
  <c r="J165" i="1"/>
  <c r="H166" i="1"/>
  <c r="I166" i="1"/>
  <c r="J166" i="1"/>
  <c r="H167" i="1"/>
  <c r="I167" i="1"/>
  <c r="J167" i="1"/>
  <c r="H168" i="1"/>
  <c r="I168" i="1"/>
  <c r="J168" i="1"/>
  <c r="H169" i="1"/>
  <c r="I169" i="1"/>
  <c r="J169" i="1"/>
  <c r="H170" i="1"/>
  <c r="I170" i="1"/>
  <c r="J170" i="1"/>
  <c r="H171" i="1"/>
  <c r="I171" i="1"/>
  <c r="J171" i="1"/>
  <c r="H172" i="1"/>
  <c r="I172" i="1"/>
  <c r="J172" i="1"/>
  <c r="H173" i="1"/>
  <c r="I173" i="1"/>
  <c r="J173" i="1"/>
  <c r="H174" i="1"/>
  <c r="I174" i="1"/>
  <c r="J174" i="1"/>
  <c r="H175" i="1"/>
  <c r="I175" i="1"/>
  <c r="J175" i="1"/>
  <c r="H176" i="1"/>
  <c r="I176" i="1"/>
  <c r="J176" i="1"/>
  <c r="H177" i="1"/>
  <c r="I177" i="1"/>
  <c r="J177" i="1"/>
  <c r="H178" i="1"/>
  <c r="I178" i="1"/>
  <c r="J178" i="1"/>
  <c r="H179" i="1"/>
  <c r="I179" i="1"/>
  <c r="J179" i="1"/>
  <c r="H180" i="1"/>
  <c r="I180" i="1"/>
  <c r="J180" i="1"/>
  <c r="H181" i="1"/>
  <c r="I181" i="1"/>
  <c r="J181" i="1"/>
  <c r="H183" i="1"/>
  <c r="I183" i="1"/>
  <c r="J183" i="1"/>
  <c r="H184" i="1"/>
  <c r="I184" i="1"/>
  <c r="J184" i="1"/>
  <c r="H185" i="1"/>
  <c r="I185" i="1"/>
  <c r="J185" i="1"/>
  <c r="H186" i="1"/>
  <c r="I186" i="1"/>
  <c r="J186" i="1"/>
  <c r="H187" i="1"/>
  <c r="I187" i="1"/>
  <c r="J187" i="1"/>
  <c r="H188" i="1"/>
  <c r="I188" i="1"/>
  <c r="J188" i="1"/>
  <c r="H189" i="1"/>
  <c r="I189" i="1"/>
  <c r="J189" i="1"/>
  <c r="H190" i="1"/>
  <c r="I190" i="1"/>
  <c r="J190" i="1"/>
  <c r="H191" i="1"/>
  <c r="I191" i="1"/>
  <c r="J191" i="1"/>
  <c r="H192" i="1"/>
  <c r="I192" i="1"/>
  <c r="J192" i="1"/>
  <c r="H193" i="1"/>
  <c r="I193" i="1"/>
  <c r="J193" i="1"/>
  <c r="H194" i="1"/>
  <c r="I194" i="1"/>
  <c r="J194" i="1"/>
  <c r="H195" i="1"/>
  <c r="I195" i="1"/>
  <c r="J195" i="1"/>
  <c r="H196" i="1"/>
  <c r="I196" i="1"/>
  <c r="J196" i="1"/>
  <c r="H197" i="1"/>
  <c r="I197" i="1"/>
  <c r="J197" i="1"/>
  <c r="H198" i="1"/>
  <c r="I198" i="1"/>
  <c r="J198" i="1"/>
  <c r="H199" i="1"/>
  <c r="I199" i="1"/>
  <c r="J199" i="1"/>
  <c r="H200" i="1"/>
  <c r="I200" i="1"/>
  <c r="J200" i="1"/>
  <c r="H201" i="1"/>
  <c r="I201" i="1"/>
  <c r="J201" i="1"/>
  <c r="H202" i="1"/>
  <c r="I202" i="1"/>
  <c r="J202" i="1"/>
  <c r="H203" i="1"/>
  <c r="I203" i="1"/>
  <c r="J203" i="1"/>
  <c r="H204" i="1"/>
  <c r="I204" i="1"/>
  <c r="J204" i="1"/>
  <c r="H205" i="1"/>
  <c r="I205" i="1"/>
  <c r="J205" i="1"/>
  <c r="H206" i="1"/>
  <c r="I206" i="1"/>
  <c r="J206" i="1"/>
  <c r="H207" i="1"/>
  <c r="I207" i="1"/>
  <c r="J207" i="1"/>
  <c r="H208" i="1"/>
  <c r="I208" i="1"/>
  <c r="J208" i="1"/>
  <c r="H209" i="1"/>
  <c r="I209" i="1"/>
  <c r="J209" i="1"/>
  <c r="H210" i="1"/>
  <c r="I210" i="1"/>
  <c r="J210" i="1"/>
  <c r="H211" i="1"/>
  <c r="I211" i="1"/>
  <c r="J211" i="1"/>
  <c r="H212" i="1"/>
  <c r="I212" i="1"/>
  <c r="J212" i="1"/>
  <c r="H213" i="1"/>
  <c r="I213" i="1"/>
  <c r="J213" i="1"/>
  <c r="H214" i="1"/>
  <c r="I214" i="1"/>
  <c r="J214" i="1"/>
  <c r="H215" i="1"/>
  <c r="I215" i="1"/>
  <c r="J215" i="1"/>
  <c r="H216" i="1"/>
  <c r="I216" i="1"/>
  <c r="J216" i="1"/>
  <c r="H217" i="1"/>
  <c r="I217" i="1"/>
  <c r="J217" i="1"/>
  <c r="H218" i="1"/>
  <c r="I218" i="1"/>
  <c r="J218" i="1"/>
  <c r="H219" i="1"/>
  <c r="I219" i="1"/>
  <c r="J219" i="1"/>
  <c r="H220" i="1"/>
  <c r="I220" i="1"/>
  <c r="J220" i="1"/>
  <c r="H221" i="1"/>
  <c r="I221" i="1"/>
  <c r="J221" i="1"/>
  <c r="H222" i="1"/>
  <c r="I222" i="1"/>
  <c r="J222" i="1"/>
  <c r="H223" i="1"/>
  <c r="I223" i="1"/>
  <c r="J223" i="1"/>
  <c r="H224" i="1"/>
  <c r="I224" i="1"/>
  <c r="J224" i="1"/>
  <c r="H225" i="1"/>
  <c r="I225" i="1"/>
  <c r="J225" i="1"/>
  <c r="H226" i="1"/>
  <c r="I226" i="1"/>
  <c r="J226" i="1"/>
  <c r="H227" i="1"/>
  <c r="I227" i="1"/>
  <c r="J227" i="1"/>
  <c r="H228" i="1"/>
  <c r="I228" i="1"/>
  <c r="J228" i="1"/>
  <c r="H229" i="1"/>
  <c r="I229" i="1"/>
  <c r="J229" i="1"/>
  <c r="H230" i="1"/>
  <c r="I230" i="1"/>
  <c r="J230" i="1"/>
  <c r="H231" i="1"/>
  <c r="I231" i="1"/>
  <c r="J231" i="1"/>
  <c r="H232" i="1"/>
  <c r="I232" i="1"/>
  <c r="J232" i="1"/>
  <c r="H233" i="1"/>
  <c r="I233" i="1"/>
  <c r="J233" i="1"/>
  <c r="H234" i="1"/>
  <c r="I234" i="1"/>
  <c r="J234" i="1"/>
  <c r="H235" i="1"/>
  <c r="I235" i="1"/>
  <c r="J235" i="1"/>
  <c r="H236" i="1"/>
  <c r="I236" i="1"/>
  <c r="J236" i="1"/>
  <c r="H237" i="1"/>
  <c r="I237" i="1"/>
  <c r="J237" i="1"/>
  <c r="H238" i="1"/>
  <c r="I238" i="1"/>
  <c r="J238" i="1"/>
  <c r="H239" i="1"/>
  <c r="I239" i="1"/>
  <c r="J239" i="1"/>
  <c r="H240" i="1"/>
  <c r="I240" i="1"/>
  <c r="J240" i="1"/>
  <c r="H241" i="1"/>
  <c r="I241" i="1"/>
  <c r="J241" i="1"/>
  <c r="H242" i="1"/>
  <c r="I242" i="1"/>
  <c r="J242" i="1"/>
  <c r="H243" i="1"/>
  <c r="I243" i="1"/>
  <c r="J243" i="1"/>
  <c r="H244" i="1"/>
  <c r="I244" i="1"/>
  <c r="J244" i="1"/>
  <c r="H245" i="1"/>
  <c r="I245" i="1"/>
  <c r="J245" i="1"/>
  <c r="H246" i="1"/>
  <c r="I246" i="1"/>
  <c r="J246" i="1"/>
  <c r="H247" i="1"/>
  <c r="I247" i="1"/>
  <c r="J247" i="1"/>
  <c r="H248" i="1"/>
  <c r="I248" i="1"/>
  <c r="J248" i="1"/>
  <c r="H249" i="1"/>
  <c r="I249" i="1"/>
  <c r="J249" i="1"/>
  <c r="H250" i="1"/>
  <c r="I250" i="1"/>
  <c r="J250" i="1"/>
  <c r="H251" i="1"/>
  <c r="I251" i="1"/>
  <c r="J251" i="1"/>
  <c r="H252" i="1"/>
  <c r="I252" i="1"/>
  <c r="J252" i="1"/>
  <c r="H253" i="1"/>
  <c r="I253" i="1"/>
  <c r="J253" i="1"/>
  <c r="H254" i="1"/>
  <c r="I254" i="1"/>
  <c r="J254" i="1"/>
  <c r="H255" i="1"/>
  <c r="I255" i="1"/>
  <c r="J255" i="1"/>
  <c r="H256" i="1"/>
  <c r="I256" i="1"/>
  <c r="J256" i="1"/>
  <c r="H257" i="1"/>
  <c r="I257" i="1"/>
  <c r="J257" i="1"/>
  <c r="H258" i="1"/>
  <c r="I258" i="1"/>
  <c r="J258" i="1"/>
  <c r="H259" i="1"/>
  <c r="I259" i="1"/>
  <c r="J259" i="1"/>
  <c r="H260" i="1"/>
  <c r="I260" i="1"/>
  <c r="J260" i="1"/>
  <c r="H261" i="1"/>
  <c r="I261" i="1"/>
  <c r="J261" i="1"/>
  <c r="H262" i="1"/>
  <c r="I262" i="1"/>
  <c r="J262" i="1"/>
  <c r="H263" i="1"/>
  <c r="I263" i="1"/>
  <c r="J263" i="1"/>
  <c r="H264" i="1"/>
  <c r="I264" i="1"/>
  <c r="J264" i="1"/>
  <c r="H265" i="1"/>
  <c r="I265" i="1"/>
  <c r="J265" i="1"/>
  <c r="H266" i="1"/>
  <c r="I266" i="1"/>
  <c r="J266" i="1"/>
  <c r="H267" i="1"/>
  <c r="I267" i="1"/>
  <c r="J267" i="1"/>
  <c r="H268" i="1"/>
  <c r="I268" i="1"/>
  <c r="J268" i="1"/>
  <c r="H269" i="1"/>
  <c r="I269" i="1"/>
  <c r="J269" i="1"/>
  <c r="H270" i="1"/>
  <c r="I270" i="1"/>
  <c r="J270" i="1"/>
  <c r="H271" i="1"/>
  <c r="I271" i="1"/>
  <c r="J271" i="1"/>
  <c r="H272" i="1"/>
  <c r="I272" i="1"/>
  <c r="J272" i="1"/>
  <c r="H273" i="1"/>
  <c r="I273" i="1"/>
  <c r="J273" i="1"/>
  <c r="H274" i="1"/>
  <c r="I274" i="1"/>
  <c r="J274" i="1"/>
  <c r="H275" i="1"/>
  <c r="I275" i="1"/>
  <c r="J275" i="1"/>
  <c r="H277" i="1"/>
  <c r="I277" i="1"/>
  <c r="J277" i="1"/>
  <c r="H278" i="1"/>
  <c r="I278" i="1"/>
  <c r="J278" i="1"/>
  <c r="H279" i="1"/>
  <c r="I279" i="1"/>
  <c r="J279" i="1"/>
  <c r="H280" i="1"/>
  <c r="I280" i="1"/>
  <c r="J280" i="1"/>
  <c r="H281" i="1"/>
  <c r="I281" i="1"/>
  <c r="J281" i="1"/>
  <c r="H282" i="1"/>
  <c r="I282" i="1"/>
  <c r="J282" i="1"/>
  <c r="H283" i="1"/>
  <c r="I283" i="1"/>
  <c r="J283" i="1"/>
  <c r="H284" i="1"/>
  <c r="I284" i="1"/>
  <c r="J284" i="1"/>
  <c r="H285" i="1"/>
  <c r="I285" i="1"/>
  <c r="J285" i="1"/>
  <c r="H286" i="1"/>
  <c r="I286" i="1"/>
  <c r="J286" i="1"/>
  <c r="H287" i="1"/>
  <c r="I287" i="1"/>
  <c r="J287" i="1"/>
  <c r="H288" i="1"/>
  <c r="I288" i="1"/>
  <c r="J288" i="1"/>
  <c r="H289" i="1"/>
  <c r="I289" i="1"/>
  <c r="J289" i="1"/>
  <c r="H290" i="1"/>
  <c r="I290" i="1"/>
  <c r="J290" i="1"/>
  <c r="H291" i="1"/>
  <c r="I291" i="1"/>
  <c r="J291" i="1"/>
  <c r="H292" i="1"/>
  <c r="I292" i="1"/>
  <c r="J292" i="1"/>
  <c r="H293" i="1"/>
  <c r="I293" i="1"/>
  <c r="J293" i="1"/>
  <c r="H294" i="1"/>
  <c r="I294" i="1"/>
  <c r="J294" i="1"/>
  <c r="H295" i="1"/>
  <c r="I295" i="1"/>
  <c r="J295" i="1"/>
  <c r="H296" i="1"/>
  <c r="I296" i="1"/>
  <c r="J296" i="1"/>
  <c r="H297" i="1"/>
  <c r="I297" i="1"/>
  <c r="J297" i="1"/>
  <c r="H298" i="1"/>
  <c r="I298" i="1"/>
  <c r="J298" i="1"/>
  <c r="H299" i="1"/>
  <c r="I299" i="1"/>
  <c r="J299" i="1"/>
  <c r="H300" i="1"/>
  <c r="I300" i="1"/>
  <c r="J300" i="1"/>
  <c r="H301" i="1"/>
  <c r="I301" i="1"/>
  <c r="J301" i="1"/>
  <c r="H302" i="1"/>
  <c r="I302" i="1"/>
  <c r="J302" i="1"/>
  <c r="H303" i="1"/>
  <c r="I303" i="1"/>
  <c r="J303" i="1"/>
  <c r="H304" i="1"/>
  <c r="I304" i="1"/>
  <c r="J304" i="1"/>
  <c r="H305" i="1"/>
  <c r="I305" i="1"/>
  <c r="J305" i="1"/>
  <c r="H306" i="1"/>
  <c r="I306" i="1"/>
  <c r="J306" i="1"/>
  <c r="H307" i="1"/>
  <c r="I307" i="1"/>
  <c r="J307" i="1"/>
  <c r="H308" i="1"/>
  <c r="I308" i="1"/>
  <c r="J308" i="1"/>
  <c r="H309" i="1"/>
  <c r="I309" i="1"/>
  <c r="J309" i="1"/>
  <c r="H310" i="1"/>
  <c r="I310" i="1"/>
  <c r="J310" i="1"/>
  <c r="H311" i="1"/>
  <c r="I311" i="1"/>
  <c r="J311" i="1"/>
  <c r="H312" i="1"/>
  <c r="I312" i="1"/>
  <c r="J312" i="1"/>
  <c r="H313" i="1"/>
  <c r="I313" i="1"/>
  <c r="J313" i="1"/>
  <c r="H314" i="1"/>
  <c r="I314" i="1"/>
  <c r="J314" i="1"/>
  <c r="H315" i="1"/>
  <c r="I315" i="1"/>
  <c r="J315" i="1"/>
  <c r="H316" i="1"/>
  <c r="I316" i="1"/>
  <c r="J316" i="1"/>
  <c r="H317" i="1"/>
  <c r="I317" i="1"/>
  <c r="J317" i="1"/>
  <c r="H318" i="1"/>
  <c r="I318" i="1"/>
  <c r="J318" i="1"/>
  <c r="H319" i="1"/>
  <c r="I319" i="1"/>
  <c r="J319" i="1"/>
  <c r="H320" i="1"/>
  <c r="I320" i="1"/>
  <c r="J320" i="1"/>
  <c r="H321" i="1"/>
  <c r="I321" i="1"/>
  <c r="J321" i="1"/>
  <c r="H322" i="1"/>
  <c r="I322" i="1"/>
  <c r="J322" i="1"/>
  <c r="H323" i="1"/>
  <c r="I323" i="1"/>
  <c r="J323" i="1"/>
  <c r="H324" i="1"/>
  <c r="I324" i="1"/>
  <c r="J324" i="1"/>
  <c r="H325" i="1"/>
  <c r="I325" i="1"/>
  <c r="J325" i="1"/>
  <c r="H326" i="1"/>
  <c r="I326" i="1"/>
  <c r="J326" i="1"/>
  <c r="H327" i="1"/>
  <c r="I327" i="1"/>
  <c r="J327" i="1"/>
  <c r="H328" i="1"/>
  <c r="I328" i="1"/>
  <c r="J328" i="1"/>
  <c r="H329" i="1"/>
  <c r="I329" i="1"/>
  <c r="J329" i="1"/>
  <c r="H330" i="1"/>
  <c r="I330" i="1"/>
  <c r="J330" i="1"/>
  <c r="H331" i="1"/>
  <c r="I331" i="1"/>
  <c r="J331" i="1"/>
  <c r="H332" i="1"/>
  <c r="I332" i="1"/>
  <c r="J332" i="1"/>
  <c r="H334" i="1"/>
  <c r="I334" i="1"/>
  <c r="J334" i="1"/>
  <c r="H335" i="1"/>
  <c r="I335" i="1"/>
  <c r="J335" i="1"/>
  <c r="H336" i="1"/>
  <c r="I336" i="1"/>
  <c r="J336" i="1"/>
  <c r="H337" i="1"/>
  <c r="I337" i="1"/>
  <c r="J337" i="1"/>
  <c r="H338" i="1"/>
  <c r="I338" i="1"/>
  <c r="J338" i="1"/>
  <c r="H339" i="1"/>
  <c r="I339" i="1"/>
  <c r="J339" i="1"/>
  <c r="H340" i="1"/>
  <c r="I340" i="1"/>
  <c r="J340" i="1"/>
  <c r="H341" i="1"/>
  <c r="I341" i="1"/>
  <c r="J341" i="1"/>
  <c r="H342" i="1"/>
  <c r="I342" i="1"/>
  <c r="J342" i="1"/>
  <c r="H343" i="1"/>
  <c r="I343" i="1"/>
  <c r="J343" i="1"/>
  <c r="H344" i="1"/>
  <c r="I344" i="1"/>
  <c r="J344" i="1"/>
  <c r="H345" i="1"/>
  <c r="I345" i="1"/>
  <c r="J345" i="1"/>
</calcChain>
</file>

<file path=xl/sharedStrings.xml><?xml version="1.0" encoding="utf-8"?>
<sst xmlns="http://schemas.openxmlformats.org/spreadsheetml/2006/main" count="1386" uniqueCount="91">
  <si>
    <t>Date</t>
  </si>
  <si>
    <t>Description</t>
  </si>
  <si>
    <t>Debit</t>
  </si>
  <si>
    <t>Credit</t>
  </si>
  <si>
    <t>Sub-category</t>
  </si>
  <si>
    <t>Category</t>
  </si>
  <si>
    <t>Category Type</t>
  </si>
  <si>
    <t>Month Number</t>
  </si>
  <si>
    <t>Weekday</t>
  </si>
  <si>
    <t>Amount</t>
  </si>
  <si>
    <t>Data With Decision</t>
  </si>
  <si>
    <t>Tutoring</t>
  </si>
  <si>
    <t>Salary</t>
  </si>
  <si>
    <t>Income</t>
  </si>
  <si>
    <t>Drink</t>
  </si>
  <si>
    <t>Coffee</t>
  </si>
  <si>
    <t>Dining Out</t>
  </si>
  <si>
    <t>Expense</t>
  </si>
  <si>
    <t>Big Basket</t>
  </si>
  <si>
    <t>Groceries</t>
  </si>
  <si>
    <t>Living Expenses</t>
  </si>
  <si>
    <t>Subscription</t>
  </si>
  <si>
    <t>Kindle</t>
  </si>
  <si>
    <t>Personal Development</t>
  </si>
  <si>
    <t>Power source</t>
  </si>
  <si>
    <t>Gas/Electrics</t>
  </si>
  <si>
    <t>Fuel</t>
  </si>
  <si>
    <t>Cinemas</t>
  </si>
  <si>
    <t>Entertainment</t>
  </si>
  <si>
    <t>Discretionary</t>
  </si>
  <si>
    <t>West Side</t>
  </si>
  <si>
    <t>Clothes</t>
  </si>
  <si>
    <t>Burger</t>
  </si>
  <si>
    <t>Restaurant</t>
  </si>
  <si>
    <t>Taken Medication</t>
  </si>
  <si>
    <t>Pharmacy</t>
  </si>
  <si>
    <t>Medical</t>
  </si>
  <si>
    <t>Uber</t>
  </si>
  <si>
    <t>Taxi</t>
  </si>
  <si>
    <t>Transport</t>
  </si>
  <si>
    <t>Painting</t>
  </si>
  <si>
    <t>Passive</t>
  </si>
  <si>
    <t>Emcee</t>
  </si>
  <si>
    <t>Phone</t>
  </si>
  <si>
    <t>Birthday</t>
  </si>
  <si>
    <t>Gifts</t>
  </si>
  <si>
    <t>Online streaming</t>
  </si>
  <si>
    <t>Burrito</t>
  </si>
  <si>
    <t>White soup</t>
  </si>
  <si>
    <t>Orphanage</t>
  </si>
  <si>
    <t>Donation</t>
  </si>
  <si>
    <t>Charity</t>
  </si>
  <si>
    <t>Fueling</t>
  </si>
  <si>
    <t>H&amp;M</t>
  </si>
  <si>
    <t>Hanging out/Ticket</t>
  </si>
  <si>
    <t>Amazon</t>
  </si>
  <si>
    <t>Doctor</t>
  </si>
  <si>
    <t>Fashionistas</t>
  </si>
  <si>
    <t>Transcribe</t>
  </si>
  <si>
    <t>Sandwhich</t>
  </si>
  <si>
    <t>Maggi</t>
  </si>
  <si>
    <t>Old Age Home</t>
  </si>
  <si>
    <t>Online learning</t>
  </si>
  <si>
    <t>Udemy</t>
  </si>
  <si>
    <t>MAX</t>
  </si>
  <si>
    <t>Myntra</t>
  </si>
  <si>
    <t>Ajio</t>
  </si>
  <si>
    <t>Taken medication</t>
  </si>
  <si>
    <t>Starbucks</t>
  </si>
  <si>
    <t>McD</t>
  </si>
  <si>
    <t>Decathalon</t>
  </si>
  <si>
    <t>The Food Factory</t>
  </si>
  <si>
    <t>Taco</t>
  </si>
  <si>
    <t>Fritters</t>
  </si>
  <si>
    <t>Hot chocolate</t>
  </si>
  <si>
    <t>Clubing</t>
  </si>
  <si>
    <t>Centerpoint</t>
  </si>
  <si>
    <t>Thomson Casa</t>
  </si>
  <si>
    <t>Redtag</t>
  </si>
  <si>
    <t>Spring Roll</t>
  </si>
  <si>
    <t>Soup</t>
  </si>
  <si>
    <t>Home décor</t>
  </si>
  <si>
    <t>Furnishings</t>
  </si>
  <si>
    <t>Foodary</t>
  </si>
  <si>
    <t>Roasttown</t>
  </si>
  <si>
    <t>Hangingout/Ticket</t>
  </si>
  <si>
    <t>Dunkin Donuts</t>
  </si>
  <si>
    <t>Splash</t>
  </si>
  <si>
    <t>The Pavilion</t>
  </si>
  <si>
    <t>Tim Hortons</t>
  </si>
  <si>
    <t>The Steak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</si>
</sst>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[$-14009]dd\ mmmm\ yyyy;@"/>
    <numFmt numFmtId="165" formatCode="ddd"/>
  </numFmts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8">
    <dxf>
      <numFmt numFmtId="0" formatCode="General"/>
    </dxf>
    <dxf>
      <numFmt numFmtId="165" formatCode="ddd"/>
    </dxf>
    <dxf>
      <numFmt numFmtId="0" formatCode="General"/>
    </dxf>
    <dxf>
      <numFmt numFmtId="164" formatCode="[$-14009]dd\ mmmm\ yyyy;@"/>
    </dxf>
    <dxf>
      <font>
        <color theme="1"/>
      </font>
    </dxf>
    <dxf>
      <font>
        <b/>
        <i val="0"/>
        <sz val="12"/>
        <color theme="1"/>
      </font>
      <fill>
        <patternFill>
          <bgColor rgb="FF2C2C2C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>
          <bgColor rgb="FF2C2C2C"/>
        </patternFill>
      </fill>
      <border diagonalUp="0" diagonalDown="0">
        <left/>
        <right/>
        <top/>
        <bottom/>
        <vertical/>
        <horizontal/>
      </border>
    </dxf>
  </dxfs>
  <tableStyles count="4" defaultTableStyle="TableStyleMedium2" defaultPivotStyle="PivotStyleLight16">
    <tableStyle name="Category" pivot="0" table="0" count="10" xr9:uid="{758E32E6-5EF0-486B-9640-9E9CA558A1B1}">
      <tableStyleElement type="wholeTable" dxfId="7"/>
      <tableStyleElement type="headerRow" dxfId="6"/>
    </tableStyle>
    <tableStyle name="Dark" pivot="0" table="0" count="10" xr9:uid="{C4A68EC7-F33B-4CD6-9989-46301C7B81EE}">
      <tableStyleElement type="wholeTable" dxfId="5"/>
      <tableStyleElement type="headerRow" dxfId="4"/>
    </tableStyle>
    <tableStyle name="Dark 2" pivot="0" table="0" count="0" xr9:uid="{44AD36F7-9FC3-46CC-90E1-7B7D82544E80}"/>
    <tableStyle name="Slicer Style 1 2 2" pivot="0" table="0" count="1" xr9:uid="{344655E0-4C7C-4B7E-8604-67021DAB209B}"/>
  </tableStyles>
  <colors>
    <mruColors>
      <color rgb="FF2C2C2C"/>
      <color rgb="FF4A61EE"/>
      <color rgb="FFFFD058"/>
      <color rgb="FFFF7979"/>
      <color rgb="FF5C38FF"/>
      <color rgb="FFFF5858"/>
      <color rgb="FF1D1D1D"/>
    </mruColors>
  </colors>
  <extLst>
    <ext xmlns:x14="http://schemas.microsoft.com/office/spreadsheetml/2009/9/main" uri="{46F421CA-312F-682f-3DD2-61675219B42D}">
      <x14:dxfs count="17">
        <dxf>
          <font>
            <color theme="0"/>
          </font>
        </dxf>
        <dxf>
          <font>
            <sz val="14"/>
            <color theme="1"/>
          </font>
          <border diagonalUp="0" diagonalDown="0">
            <left/>
            <right/>
            <top/>
            <bottom/>
            <vertical/>
            <horizontal/>
          </border>
        </dxf>
        <dxf>
          <font>
            <sz val="14"/>
            <color theme="1"/>
          </font>
        </dxf>
        <dxf>
          <font>
            <b/>
            <i val="0"/>
            <sz val="14"/>
            <color rgb="FFFFD058"/>
          </font>
          <fill>
            <patternFill>
              <bgColor rgb="FF2C2C2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14"/>
            <color rgb="FF4A61EE"/>
          </font>
          <fill>
            <patternFill>
              <bgColor rgb="FF2C2C2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14"/>
            <color theme="0"/>
          </font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12"/>
            <color rgb="FFFF7979"/>
          </font>
          <fill>
            <patternFill>
              <bgColor rgb="FF2C2C2C"/>
            </patternFill>
          </fill>
        </dxf>
        <dxf>
          <font>
            <sz val="12"/>
            <color theme="0"/>
          </font>
        </dxf>
        <dxf>
          <font>
            <b/>
            <i val="0"/>
            <sz val="12"/>
            <color theme="0"/>
          </font>
          <fill>
            <patternFill>
              <bgColor rgb="FF2C2C2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1"/>
          </font>
          <border diagonalUp="0" diagonalDown="0">
            <left/>
            <right/>
            <top/>
            <bottom/>
            <vertical/>
            <horizontal/>
          </border>
        </dxf>
        <dxf>
          <font>
            <color theme="1"/>
          </font>
        </dxf>
        <dxf>
          <font>
            <b/>
            <i val="0"/>
            <sz val="12"/>
            <color rgb="FFFFD058"/>
          </font>
          <fill>
            <patternFill>
              <bgColor rgb="FF2C2C2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4A61EE"/>
          </font>
          <fill>
            <patternFill>
              <bgColor rgb="FF2C2C2C"/>
            </patternFill>
          </fill>
        </dxf>
        <dxf>
          <font>
            <color theme="0"/>
          </font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12"/>
            <color rgb="FFFF7979"/>
          </font>
          <fill>
            <patternFill>
              <bgColor rgb="FF2C2C2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/>
          </font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color theme="0"/>
          </font>
          <fill>
            <patternFill>
              <bgColor rgb="FF2C2C2C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Category">
          <x14:slicerStyleElements>
            <x14:slicerStyleElement type="unselectedItemWithData" dxfId="16"/>
            <x14:slicerStyleElement type="unselectedItemWithNoData" dxfId="15"/>
            <x14:slicerStyleElement type="selectedItemWithData" dxfId="14"/>
            <x14:slicerStyleElement type="selectedItemWithNoData" dxfId="13"/>
            <x14:slicerStyleElement type="hoveredUnselectedItemWithData" dxfId="12"/>
            <x14:slicerStyleElement type="hoveredSelectedItemWithData" dxfId="11"/>
            <x14:slicerStyleElement type="hoveredUnselectedItemWithNoData" dxfId="10"/>
            <x14:slicerStyleElement type="hoveredSelectedItemWithNoData" dxfId="9"/>
          </x14:slicerStyleElements>
        </x14:slicerStyle>
        <x14:slicerStyle name="Dark">
          <x14:slicerStyleElements>
            <x14:slicerStyleElement type="unselectedItemWithData" dxfId="8"/>
            <x14:slicerStyleElement type="unselectedItemWithNoData" dxfId="7"/>
            <x14:slicerStyleElement type="selectedItemWithData" dxfId="6"/>
            <x14:slicerStyleElement type="selectedItemWithNoData" dxfId="5"/>
            <x14:slicerStyleElement type="hoveredUnselectedItemWithData" dxfId="4"/>
            <x14:slicerStyleElement type="hoveredSelectedItemWithData" dxfId="3"/>
            <x14:slicerStyleElement type="hoveredUnselectedItemWithNoData" dxfId="2"/>
            <x14:slicerStyleElement type="hoveredSelectedItemWithNoData" dxfId="1"/>
          </x14:slicerStyleElements>
        </x14:slicerStyle>
        <x14:slicerStyle name="Dark 2"/>
        <x14:slicerStyle name="Slicer Style 1 2 2">
          <x14:slicerStyleElements>
            <x14:slicerStyleElement type="hoveredUn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F+Dashboar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v and Dec data"/>
      <sheetName val="PFData"/>
      <sheetName val="Date"/>
      <sheetName val="Analysis"/>
      <sheetName val="Dashboard"/>
    </sheetNames>
    <sheetDataSet>
      <sheetData sheetId="0"/>
      <sheetData sheetId="1"/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931EA5-90A1-4D02-B976-9E96515D3AB6}" name="Table1" displayName="Table1" ref="A1:J345" totalsRowShown="0">
  <autoFilter ref="A1:J345" xr:uid="{8D931EA5-90A1-4D02-B976-9E96515D3AB6}"/>
  <tableColumns count="10">
    <tableColumn id="1" xr3:uid="{400DC1A3-CBB3-4FE6-92EE-AC76D1E33E77}" name="Date" dataDxfId="3"/>
    <tableColumn id="2" xr3:uid="{E442022C-04A0-4F5A-96BD-67753042E53C}" name="Description"/>
    <tableColumn id="3" xr3:uid="{87E43916-3106-4846-910A-45BBB60D744F}" name="Debit"/>
    <tableColumn id="4" xr3:uid="{056C9610-F8CD-461E-BCE6-9708A488602B}" name="Credit"/>
    <tableColumn id="5" xr3:uid="{385F2926-C263-4AC8-8B80-685D8B55A23E}" name="Sub-category"/>
    <tableColumn id="6" xr3:uid="{C240705E-23D2-4A9A-BC32-A03157C97AB3}" name="Category"/>
    <tableColumn id="7" xr3:uid="{746D7105-995D-4BA5-81BA-C16BFE82CA20}" name="Category Type"/>
    <tableColumn id="8" xr3:uid="{8FED872B-67FF-46AC-80FC-805761D2F2C7}" name="Month Number" dataDxfId="2">
      <calculatedColumnFormula>MONTH(Table1[[#This Row],[Date]])</calculatedColumnFormula>
    </tableColumn>
    <tableColumn id="9" xr3:uid="{D4F6DBC9-1857-4E45-BEF8-06C8C6218960}" name="Weekday" dataDxfId="1">
      <calculatedColumnFormula>WEEKDAY(Table1[[#This Row],[Date]])</calculatedColumnFormula>
    </tableColumn>
    <tableColumn id="10" xr3:uid="{53672C0B-CE6C-4DA4-8AB5-713F6FF1F73A}" name="Amount" dataDxfId="0">
      <calculatedColumnFormula>Table1[[#This Row],[Credit]]-Table1[[#This Row],[Debit]]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A9A64-6262-44E8-853D-0ADA87FDD4B0}">
  <sheetPr codeName="Sheet1"/>
  <dimension ref="A1:J345"/>
  <sheetViews>
    <sheetView tabSelected="1" topLeftCell="A140" workbookViewId="0">
      <selection activeCell="F276" sqref="F276"/>
    </sheetView>
  </sheetViews>
  <sheetFormatPr defaultRowHeight="14.25"/>
  <cols>
    <col min="1" max="1" width="17" style="1" customWidth="1"/>
    <col min="2" max="2" width="17" customWidth="1"/>
    <col min="3" max="3" width="9.42578125" customWidth="1"/>
    <col min="4" max="4" width="9.28515625" customWidth="1"/>
    <col min="5" max="5" width="16" customWidth="1"/>
    <col min="6" max="6" width="19.140625" customWidth="1"/>
    <col min="7" max="7" width="14.7109375" customWidth="1"/>
    <col min="8" max="8" width="13.7109375" customWidth="1"/>
    <col min="9" max="9" width="9.7109375" style="2" customWidth="1"/>
  </cols>
  <sheetData>
    <row r="1" spans="1:10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2" t="s">
        <v>8</v>
      </c>
      <c r="J1" t="s">
        <v>9</v>
      </c>
    </row>
    <row r="2" spans="1:10">
      <c r="A2" s="1">
        <v>44565</v>
      </c>
      <c r="B2" t="s">
        <v>10</v>
      </c>
      <c r="D2">
        <v>5000</v>
      </c>
      <c r="E2" t="s">
        <v>11</v>
      </c>
      <c r="F2" t="s">
        <v>12</v>
      </c>
      <c r="G2" t="s">
        <v>13</v>
      </c>
      <c r="H2">
        <f>MONTH(Table1[[#This Row],[Date]])</f>
        <v>1</v>
      </c>
      <c r="I2" s="2">
        <f>WEEKDAY(Table1[[#This Row],[Date]])</f>
        <v>3</v>
      </c>
      <c r="J2">
        <f>Table1[[#This Row],[Credit]]-Table1[[#This Row],[Debit]]</f>
        <v>5000</v>
      </c>
    </row>
    <row r="3" spans="1:10">
      <c r="A3" s="1">
        <v>44565</v>
      </c>
      <c r="B3" t="s">
        <v>14</v>
      </c>
      <c r="C3">
        <v>5</v>
      </c>
      <c r="E3" t="s">
        <v>15</v>
      </c>
      <c r="F3" t="s">
        <v>16</v>
      </c>
      <c r="G3" t="s">
        <v>17</v>
      </c>
      <c r="H3">
        <f>MONTH(Table1[[#This Row],[Date]])</f>
        <v>1</v>
      </c>
      <c r="I3" s="2">
        <f>WEEKDAY(Table1[[#This Row],[Date]])</f>
        <v>3</v>
      </c>
      <c r="J3">
        <f>Table1[[#This Row],[Credit]]-Table1[[#This Row],[Debit]]</f>
        <v>-5</v>
      </c>
    </row>
    <row r="4" spans="1:10">
      <c r="A4" s="1">
        <v>44566</v>
      </c>
      <c r="B4" t="s">
        <v>18</v>
      </c>
      <c r="C4">
        <v>900</v>
      </c>
      <c r="E4" t="s">
        <v>19</v>
      </c>
      <c r="F4" t="s">
        <v>20</v>
      </c>
      <c r="G4" t="s">
        <v>17</v>
      </c>
      <c r="H4">
        <f>MONTH(Table1[[#This Row],[Date]])</f>
        <v>1</v>
      </c>
      <c r="I4" s="2">
        <f>WEEKDAY(Table1[[#This Row],[Date]])</f>
        <v>4</v>
      </c>
      <c r="J4">
        <f>Table1[[#This Row],[Credit]]-Table1[[#This Row],[Debit]]</f>
        <v>-900</v>
      </c>
    </row>
    <row r="5" spans="1:10">
      <c r="A5" s="1">
        <v>44566</v>
      </c>
      <c r="B5" t="s">
        <v>21</v>
      </c>
      <c r="C5">
        <v>150</v>
      </c>
      <c r="E5" t="s">
        <v>22</v>
      </c>
      <c r="F5" t="s">
        <v>23</v>
      </c>
      <c r="G5" t="s">
        <v>17</v>
      </c>
      <c r="H5">
        <f>MONTH(Table1[[#This Row],[Date]])</f>
        <v>1</v>
      </c>
      <c r="I5" s="2">
        <f>WEEKDAY(Table1[[#This Row],[Date]])</f>
        <v>4</v>
      </c>
      <c r="J5">
        <f>Table1[[#This Row],[Credit]]-Table1[[#This Row],[Debit]]</f>
        <v>-150</v>
      </c>
    </row>
    <row r="6" spans="1:10">
      <c r="A6" s="1">
        <v>44566</v>
      </c>
      <c r="B6" t="s">
        <v>14</v>
      </c>
      <c r="C6">
        <v>5</v>
      </c>
      <c r="E6" t="s">
        <v>15</v>
      </c>
      <c r="F6" t="s">
        <v>16</v>
      </c>
      <c r="G6" t="s">
        <v>17</v>
      </c>
      <c r="H6">
        <f>MONTH(Table1[[#This Row],[Date]])</f>
        <v>1</v>
      </c>
      <c r="I6" s="2">
        <f>WEEKDAY(Table1[[#This Row],[Date]])</f>
        <v>4</v>
      </c>
      <c r="J6">
        <f>Table1[[#This Row],[Credit]]-Table1[[#This Row],[Debit]]</f>
        <v>-5</v>
      </c>
    </row>
    <row r="7" spans="1:10">
      <c r="A7" s="1">
        <v>44567</v>
      </c>
      <c r="B7" t="s">
        <v>14</v>
      </c>
      <c r="C7">
        <v>5</v>
      </c>
      <c r="E7" t="s">
        <v>15</v>
      </c>
      <c r="F7" t="s">
        <v>16</v>
      </c>
      <c r="G7" t="s">
        <v>17</v>
      </c>
      <c r="H7">
        <f>MONTH(Table1[[#This Row],[Date]])</f>
        <v>1</v>
      </c>
      <c r="I7" s="2">
        <f>WEEKDAY(Table1[[#This Row],[Date]])</f>
        <v>5</v>
      </c>
      <c r="J7">
        <f>Table1[[#This Row],[Credit]]-Table1[[#This Row],[Debit]]</f>
        <v>-5</v>
      </c>
    </row>
    <row r="8" spans="1:10">
      <c r="A8" s="1">
        <v>44568</v>
      </c>
      <c r="B8" t="s">
        <v>14</v>
      </c>
      <c r="C8">
        <v>5</v>
      </c>
      <c r="E8" t="s">
        <v>15</v>
      </c>
      <c r="F8" t="s">
        <v>16</v>
      </c>
      <c r="G8" t="s">
        <v>17</v>
      </c>
      <c r="H8">
        <f>MONTH(Table1[[#This Row],[Date]])</f>
        <v>1</v>
      </c>
      <c r="I8" s="2">
        <f>WEEKDAY(Table1[[#This Row],[Date]])</f>
        <v>6</v>
      </c>
      <c r="J8">
        <f>Table1[[#This Row],[Credit]]-Table1[[#This Row],[Debit]]</f>
        <v>-5</v>
      </c>
    </row>
    <row r="9" spans="1:10">
      <c r="A9" s="1">
        <v>44569</v>
      </c>
      <c r="B9" t="s">
        <v>14</v>
      </c>
      <c r="C9">
        <v>5</v>
      </c>
      <c r="E9" t="s">
        <v>15</v>
      </c>
      <c r="F9" t="s">
        <v>16</v>
      </c>
      <c r="G9" t="s">
        <v>17</v>
      </c>
      <c r="H9">
        <f>MONTH(Table1[[#This Row],[Date]])</f>
        <v>1</v>
      </c>
      <c r="I9" s="2">
        <f>WEEKDAY(Table1[[#This Row],[Date]])</f>
        <v>7</v>
      </c>
      <c r="J9">
        <f>Table1[[#This Row],[Credit]]-Table1[[#This Row],[Debit]]</f>
        <v>-5</v>
      </c>
    </row>
    <row r="10" spans="1:10">
      <c r="A10" s="1">
        <v>44569</v>
      </c>
      <c r="B10" t="s">
        <v>18</v>
      </c>
      <c r="C10">
        <v>155</v>
      </c>
      <c r="E10" t="s">
        <v>19</v>
      </c>
      <c r="F10" t="s">
        <v>20</v>
      </c>
      <c r="G10" t="s">
        <v>17</v>
      </c>
      <c r="H10">
        <f>MONTH(Table1[[#This Row],[Date]])</f>
        <v>1</v>
      </c>
      <c r="I10" s="2">
        <f>WEEKDAY(Table1[[#This Row],[Date]])</f>
        <v>7</v>
      </c>
      <c r="J10">
        <f>Table1[[#This Row],[Credit]]-Table1[[#This Row],[Debit]]</f>
        <v>-155</v>
      </c>
    </row>
    <row r="11" spans="1:10">
      <c r="A11" s="1">
        <v>44572</v>
      </c>
      <c r="B11" t="s">
        <v>24</v>
      </c>
      <c r="C11">
        <v>50</v>
      </c>
      <c r="E11" t="s">
        <v>25</v>
      </c>
      <c r="F11" t="s">
        <v>20</v>
      </c>
      <c r="G11" t="s">
        <v>17</v>
      </c>
      <c r="H11">
        <f>MONTH(Table1[[#This Row],[Date]])</f>
        <v>1</v>
      </c>
      <c r="I11" s="2">
        <f>WEEKDAY(Table1[[#This Row],[Date]])</f>
        <v>3</v>
      </c>
      <c r="J11">
        <f>Table1[[#This Row],[Credit]]-Table1[[#This Row],[Debit]]</f>
        <v>-50</v>
      </c>
    </row>
    <row r="12" spans="1:10">
      <c r="A12" s="1">
        <v>44572</v>
      </c>
      <c r="B12" t="s">
        <v>14</v>
      </c>
      <c r="C12">
        <v>5</v>
      </c>
      <c r="E12" t="s">
        <v>15</v>
      </c>
      <c r="F12" t="s">
        <v>16</v>
      </c>
      <c r="G12" t="s">
        <v>17</v>
      </c>
      <c r="H12">
        <f>MONTH(Table1[[#This Row],[Date]])</f>
        <v>1</v>
      </c>
      <c r="I12" s="2">
        <f>WEEKDAY(Table1[[#This Row],[Date]])</f>
        <v>3</v>
      </c>
      <c r="J12">
        <f>Table1[[#This Row],[Credit]]-Table1[[#This Row],[Debit]]</f>
        <v>-5</v>
      </c>
    </row>
    <row r="13" spans="1:10">
      <c r="A13" s="1">
        <v>44573</v>
      </c>
      <c r="B13" t="s">
        <v>14</v>
      </c>
      <c r="C13">
        <v>5</v>
      </c>
      <c r="E13" t="s">
        <v>15</v>
      </c>
      <c r="F13" t="s">
        <v>16</v>
      </c>
      <c r="G13" t="s">
        <v>17</v>
      </c>
      <c r="H13">
        <f>MONTH(Table1[[#This Row],[Date]])</f>
        <v>1</v>
      </c>
      <c r="I13" s="2">
        <f>WEEKDAY(Table1[[#This Row],[Date]])</f>
        <v>4</v>
      </c>
      <c r="J13">
        <f>Table1[[#This Row],[Credit]]-Table1[[#This Row],[Debit]]</f>
        <v>-5</v>
      </c>
    </row>
    <row r="14" spans="1:10">
      <c r="A14" s="1">
        <v>44574</v>
      </c>
      <c r="B14" t="s">
        <v>26</v>
      </c>
      <c r="C14">
        <v>77</v>
      </c>
      <c r="E14" t="s">
        <v>15</v>
      </c>
      <c r="F14" t="s">
        <v>16</v>
      </c>
      <c r="G14" t="s">
        <v>17</v>
      </c>
      <c r="H14">
        <f>MONTH(Table1[[#This Row],[Date]])</f>
        <v>1</v>
      </c>
      <c r="I14" s="2">
        <f>WEEKDAY(Table1[[#This Row],[Date]])</f>
        <v>5</v>
      </c>
      <c r="J14">
        <f>Table1[[#This Row],[Credit]]-Table1[[#This Row],[Debit]]</f>
        <v>-77</v>
      </c>
    </row>
    <row r="15" spans="1:10">
      <c r="A15" s="1">
        <v>44574</v>
      </c>
      <c r="B15" t="s">
        <v>14</v>
      </c>
      <c r="C15">
        <v>5</v>
      </c>
      <c r="E15" t="s">
        <v>15</v>
      </c>
      <c r="F15" t="s">
        <v>16</v>
      </c>
      <c r="G15" t="s">
        <v>17</v>
      </c>
      <c r="H15">
        <f>MONTH(Table1[[#This Row],[Date]])</f>
        <v>1</v>
      </c>
      <c r="I15" s="2">
        <f>WEEKDAY(Table1[[#This Row],[Date]])</f>
        <v>5</v>
      </c>
      <c r="J15">
        <f>Table1[[#This Row],[Credit]]-Table1[[#This Row],[Debit]]</f>
        <v>-5</v>
      </c>
    </row>
    <row r="16" spans="1:10">
      <c r="A16" s="1">
        <v>44575</v>
      </c>
      <c r="B16" t="s">
        <v>14</v>
      </c>
      <c r="C16">
        <v>5</v>
      </c>
      <c r="E16" t="s">
        <v>15</v>
      </c>
      <c r="F16" t="s">
        <v>16</v>
      </c>
      <c r="G16" t="s">
        <v>17</v>
      </c>
      <c r="H16">
        <f>MONTH(Table1[[#This Row],[Date]])</f>
        <v>1</v>
      </c>
      <c r="I16" s="2">
        <f>WEEKDAY(Table1[[#This Row],[Date]])</f>
        <v>6</v>
      </c>
      <c r="J16">
        <f>Table1[[#This Row],[Credit]]-Table1[[#This Row],[Debit]]</f>
        <v>-5</v>
      </c>
    </row>
    <row r="17" spans="1:10">
      <c r="A17" s="1">
        <v>44576</v>
      </c>
      <c r="B17" t="s">
        <v>18</v>
      </c>
      <c r="C17">
        <v>135</v>
      </c>
      <c r="E17" t="s">
        <v>19</v>
      </c>
      <c r="F17" t="s">
        <v>20</v>
      </c>
      <c r="G17" t="s">
        <v>17</v>
      </c>
      <c r="H17">
        <f>MONTH(Table1[[#This Row],[Date]])</f>
        <v>1</v>
      </c>
      <c r="I17" s="2">
        <f>WEEKDAY(Table1[[#This Row],[Date]])</f>
        <v>7</v>
      </c>
      <c r="J17">
        <f>Table1[[#This Row],[Credit]]-Table1[[#This Row],[Debit]]</f>
        <v>-135</v>
      </c>
    </row>
    <row r="18" spans="1:10">
      <c r="A18" s="1">
        <v>44576</v>
      </c>
      <c r="B18" t="s">
        <v>14</v>
      </c>
      <c r="C18">
        <v>5</v>
      </c>
      <c r="E18" t="s">
        <v>15</v>
      </c>
      <c r="F18" t="s">
        <v>16</v>
      </c>
      <c r="G18" t="s">
        <v>17</v>
      </c>
      <c r="H18">
        <f>MONTH(Table1[[#This Row],[Date]])</f>
        <v>1</v>
      </c>
      <c r="I18" s="2">
        <f>WEEKDAY(Table1[[#This Row],[Date]])</f>
        <v>7</v>
      </c>
      <c r="J18">
        <f>Table1[[#This Row],[Credit]]-Table1[[#This Row],[Debit]]</f>
        <v>-5</v>
      </c>
    </row>
    <row r="19" spans="1:10">
      <c r="A19" s="1">
        <v>44577</v>
      </c>
      <c r="B19" t="s">
        <v>14</v>
      </c>
      <c r="C19">
        <v>5</v>
      </c>
      <c r="E19" t="s">
        <v>15</v>
      </c>
      <c r="F19" t="s">
        <v>16</v>
      </c>
      <c r="G19" t="s">
        <v>17</v>
      </c>
      <c r="H19">
        <f>MONTH(Table1[[#This Row],[Date]])</f>
        <v>1</v>
      </c>
      <c r="I19" s="2">
        <f>WEEKDAY(Table1[[#This Row],[Date]])</f>
        <v>1</v>
      </c>
      <c r="J19">
        <f>Table1[[#This Row],[Credit]]-Table1[[#This Row],[Debit]]</f>
        <v>-5</v>
      </c>
    </row>
    <row r="20" spans="1:10">
      <c r="A20" s="1">
        <v>44577</v>
      </c>
      <c r="B20" t="s">
        <v>27</v>
      </c>
      <c r="C20">
        <v>40</v>
      </c>
      <c r="E20" t="s">
        <v>28</v>
      </c>
      <c r="F20" t="s">
        <v>29</v>
      </c>
      <c r="G20" t="s">
        <v>17</v>
      </c>
      <c r="H20">
        <f>MONTH(Table1[[#This Row],[Date]])</f>
        <v>1</v>
      </c>
      <c r="I20" s="2">
        <f>WEEKDAY(Table1[[#This Row],[Date]])</f>
        <v>1</v>
      </c>
      <c r="J20">
        <f>Table1[[#This Row],[Credit]]-Table1[[#This Row],[Debit]]</f>
        <v>-40</v>
      </c>
    </row>
    <row r="21" spans="1:10">
      <c r="A21" s="1">
        <v>44577</v>
      </c>
      <c r="B21" t="s">
        <v>30</v>
      </c>
      <c r="C21">
        <v>98</v>
      </c>
      <c r="E21" t="s">
        <v>31</v>
      </c>
      <c r="F21" t="s">
        <v>29</v>
      </c>
      <c r="G21" t="s">
        <v>17</v>
      </c>
      <c r="H21">
        <f>MONTH(Table1[[#This Row],[Date]])</f>
        <v>1</v>
      </c>
      <c r="I21" s="2">
        <f>WEEKDAY(Table1[[#This Row],[Date]])</f>
        <v>1</v>
      </c>
      <c r="J21">
        <f>Table1[[#This Row],[Credit]]-Table1[[#This Row],[Debit]]</f>
        <v>-98</v>
      </c>
    </row>
    <row r="22" spans="1:10">
      <c r="A22" s="1">
        <v>44577</v>
      </c>
      <c r="B22" t="s">
        <v>32</v>
      </c>
      <c r="C22">
        <v>52</v>
      </c>
      <c r="E22" t="s">
        <v>33</v>
      </c>
      <c r="F22" t="s">
        <v>16</v>
      </c>
      <c r="G22" t="s">
        <v>17</v>
      </c>
      <c r="H22">
        <f>MONTH(Table1[[#This Row],[Date]])</f>
        <v>1</v>
      </c>
      <c r="I22" s="2">
        <f>WEEKDAY(Table1[[#This Row],[Date]])</f>
        <v>1</v>
      </c>
      <c r="J22">
        <f>Table1[[#This Row],[Credit]]-Table1[[#This Row],[Debit]]</f>
        <v>-52</v>
      </c>
    </row>
    <row r="23" spans="1:10">
      <c r="A23" s="1">
        <v>44578</v>
      </c>
      <c r="B23" t="s">
        <v>34</v>
      </c>
      <c r="C23">
        <v>50</v>
      </c>
      <c r="E23" t="s">
        <v>35</v>
      </c>
      <c r="F23" t="s">
        <v>36</v>
      </c>
      <c r="G23" t="s">
        <v>17</v>
      </c>
      <c r="H23" s="3">
        <f>MONTH(Table1[[#This Row],[Date]])</f>
        <v>1</v>
      </c>
      <c r="I23" s="2">
        <f>WEEKDAY(Table1[[#This Row],[Date]])</f>
        <v>2</v>
      </c>
      <c r="J23" s="3">
        <f>Table1[[#This Row],[Credit]]-Table1[[#This Row],[Debit]]</f>
        <v>-50</v>
      </c>
    </row>
    <row r="24" spans="1:10">
      <c r="A24" s="1">
        <v>44578</v>
      </c>
      <c r="B24" t="s">
        <v>37</v>
      </c>
      <c r="C24">
        <v>28</v>
      </c>
      <c r="E24" t="s">
        <v>38</v>
      </c>
      <c r="F24" t="s">
        <v>39</v>
      </c>
      <c r="G24" t="s">
        <v>17</v>
      </c>
      <c r="H24">
        <f>MONTH(Table1[[#This Row],[Date]])</f>
        <v>1</v>
      </c>
      <c r="I24" s="2">
        <f>WEEKDAY(Table1[[#This Row],[Date]])</f>
        <v>2</v>
      </c>
      <c r="J24">
        <f>Table1[[#This Row],[Credit]]-Table1[[#This Row],[Debit]]</f>
        <v>-28</v>
      </c>
    </row>
    <row r="25" spans="1:10">
      <c r="A25" s="1">
        <v>44579</v>
      </c>
      <c r="B25" t="s">
        <v>13</v>
      </c>
      <c r="D25">
        <v>4500</v>
      </c>
      <c r="E25" t="s">
        <v>40</v>
      </c>
      <c r="F25" t="s">
        <v>41</v>
      </c>
      <c r="G25" t="s">
        <v>13</v>
      </c>
      <c r="H25">
        <f>MONTH(Table1[[#This Row],[Date]])</f>
        <v>1</v>
      </c>
      <c r="I25" s="2">
        <f>WEEKDAY(Table1[[#This Row],[Date]])</f>
        <v>3</v>
      </c>
      <c r="J25">
        <f>Table1[[#This Row],[Credit]]-Table1[[#This Row],[Debit]]</f>
        <v>4500</v>
      </c>
    </row>
    <row r="26" spans="1:10">
      <c r="A26" s="1">
        <v>44579</v>
      </c>
      <c r="B26" t="s">
        <v>14</v>
      </c>
      <c r="C26">
        <v>5</v>
      </c>
      <c r="E26" t="s">
        <v>15</v>
      </c>
      <c r="F26" t="s">
        <v>16</v>
      </c>
      <c r="G26" t="s">
        <v>17</v>
      </c>
      <c r="H26">
        <f>MONTH(Table1[[#This Row],[Date]])</f>
        <v>1</v>
      </c>
      <c r="I26" s="2">
        <f>WEEKDAY(Table1[[#This Row],[Date]])</f>
        <v>3</v>
      </c>
      <c r="J26">
        <f>Table1[[#This Row],[Credit]]-Table1[[#This Row],[Debit]]</f>
        <v>-5</v>
      </c>
    </row>
    <row r="27" spans="1:10">
      <c r="A27" s="1">
        <v>44580</v>
      </c>
      <c r="B27" t="s">
        <v>14</v>
      </c>
      <c r="C27">
        <v>5</v>
      </c>
      <c r="E27" t="s">
        <v>15</v>
      </c>
      <c r="F27" t="s">
        <v>16</v>
      </c>
      <c r="G27" t="s">
        <v>17</v>
      </c>
      <c r="H27">
        <f>MONTH(Table1[[#This Row],[Date]])</f>
        <v>1</v>
      </c>
      <c r="I27" s="2">
        <f>WEEKDAY(Table1[[#This Row],[Date]])</f>
        <v>4</v>
      </c>
      <c r="J27">
        <f>Table1[[#This Row],[Credit]]-Table1[[#This Row],[Debit]]</f>
        <v>-5</v>
      </c>
    </row>
    <row r="28" spans="1:10">
      <c r="A28" s="1">
        <v>44580</v>
      </c>
      <c r="B28" t="s">
        <v>13</v>
      </c>
      <c r="D28">
        <v>4500</v>
      </c>
      <c r="E28" t="s">
        <v>42</v>
      </c>
      <c r="F28" t="s">
        <v>41</v>
      </c>
      <c r="G28" t="s">
        <v>13</v>
      </c>
      <c r="H28">
        <f>MONTH(Table1[[#This Row],[Date]])</f>
        <v>1</v>
      </c>
      <c r="I28" s="2">
        <f>WEEKDAY(Table1[[#This Row],[Date]])</f>
        <v>4</v>
      </c>
      <c r="J28">
        <f>Table1[[#This Row],[Credit]]-Table1[[#This Row],[Debit]]</f>
        <v>4500</v>
      </c>
    </row>
    <row r="29" spans="1:10">
      <c r="A29" s="1">
        <v>44580</v>
      </c>
      <c r="B29" t="s">
        <v>43</v>
      </c>
      <c r="C29">
        <v>40</v>
      </c>
      <c r="E29" t="s">
        <v>43</v>
      </c>
      <c r="F29" t="s">
        <v>20</v>
      </c>
      <c r="G29" t="s">
        <v>17</v>
      </c>
      <c r="H29">
        <f>MONTH(Table1[[#This Row],[Date]])</f>
        <v>1</v>
      </c>
      <c r="I29" s="2">
        <f>WEEKDAY(Table1[[#This Row],[Date]])</f>
        <v>4</v>
      </c>
      <c r="J29">
        <f>Table1[[#This Row],[Credit]]-Table1[[#This Row],[Debit]]</f>
        <v>-40</v>
      </c>
    </row>
    <row r="30" spans="1:10">
      <c r="A30" s="1">
        <v>44581</v>
      </c>
      <c r="B30" t="s">
        <v>44</v>
      </c>
      <c r="C30">
        <v>45</v>
      </c>
      <c r="E30" t="s">
        <v>45</v>
      </c>
      <c r="F30" t="s">
        <v>29</v>
      </c>
      <c r="G30" t="s">
        <v>17</v>
      </c>
      <c r="H30">
        <f>MONTH(Table1[[#This Row],[Date]])</f>
        <v>1</v>
      </c>
      <c r="I30" s="2">
        <f>WEEKDAY(Table1[[#This Row],[Date]])</f>
        <v>5</v>
      </c>
      <c r="J30">
        <f>Table1[[#This Row],[Credit]]-Table1[[#This Row],[Debit]]</f>
        <v>-45</v>
      </c>
    </row>
    <row r="31" spans="1:10">
      <c r="A31" s="1">
        <v>44581</v>
      </c>
      <c r="B31" t="s">
        <v>46</v>
      </c>
      <c r="C31">
        <v>32</v>
      </c>
      <c r="E31" t="s">
        <v>28</v>
      </c>
      <c r="F31" t="s">
        <v>29</v>
      </c>
      <c r="G31" t="s">
        <v>17</v>
      </c>
      <c r="H31">
        <f>MONTH(Table1[[#This Row],[Date]])</f>
        <v>1</v>
      </c>
      <c r="I31" s="2">
        <f>WEEKDAY(Table1[[#This Row],[Date]])</f>
        <v>5</v>
      </c>
      <c r="J31">
        <f>Table1[[#This Row],[Credit]]-Table1[[#This Row],[Debit]]</f>
        <v>-32</v>
      </c>
    </row>
    <row r="32" spans="1:10">
      <c r="A32" s="1">
        <v>44581</v>
      </c>
      <c r="B32" t="s">
        <v>14</v>
      </c>
      <c r="C32">
        <v>5</v>
      </c>
      <c r="E32" t="s">
        <v>15</v>
      </c>
      <c r="F32" t="s">
        <v>16</v>
      </c>
      <c r="G32" t="s">
        <v>17</v>
      </c>
      <c r="H32">
        <f>MONTH(Table1[[#This Row],[Date]])</f>
        <v>1</v>
      </c>
      <c r="I32" s="2">
        <f>WEEKDAY(Table1[[#This Row],[Date]])</f>
        <v>5</v>
      </c>
      <c r="J32">
        <f>Table1[[#This Row],[Credit]]-Table1[[#This Row],[Debit]]</f>
        <v>-5</v>
      </c>
    </row>
    <row r="33" spans="1:10">
      <c r="A33" s="1">
        <v>44582</v>
      </c>
      <c r="B33" t="s">
        <v>14</v>
      </c>
      <c r="C33">
        <v>5</v>
      </c>
      <c r="E33" t="s">
        <v>15</v>
      </c>
      <c r="F33" t="s">
        <v>16</v>
      </c>
      <c r="G33" t="s">
        <v>17</v>
      </c>
      <c r="H33">
        <f>MONTH(Table1[[#This Row],[Date]])</f>
        <v>1</v>
      </c>
      <c r="I33" s="2">
        <f>WEEKDAY(Table1[[#This Row],[Date]])</f>
        <v>6</v>
      </c>
      <c r="J33">
        <f>Table1[[#This Row],[Credit]]-Table1[[#This Row],[Debit]]</f>
        <v>-5</v>
      </c>
    </row>
    <row r="34" spans="1:10">
      <c r="A34" s="1">
        <v>44583</v>
      </c>
      <c r="B34" t="s">
        <v>14</v>
      </c>
      <c r="C34">
        <v>5</v>
      </c>
      <c r="E34" t="s">
        <v>15</v>
      </c>
      <c r="F34" t="s">
        <v>16</v>
      </c>
      <c r="G34" t="s">
        <v>17</v>
      </c>
      <c r="H34">
        <f>MONTH(Table1[[#This Row],[Date]])</f>
        <v>1</v>
      </c>
      <c r="I34" s="2">
        <f>WEEKDAY(Table1[[#This Row],[Date]])</f>
        <v>7</v>
      </c>
      <c r="J34">
        <f>Table1[[#This Row],[Credit]]-Table1[[#This Row],[Debit]]</f>
        <v>-5</v>
      </c>
    </row>
    <row r="35" spans="1:10">
      <c r="A35" s="1">
        <v>44583</v>
      </c>
      <c r="B35" t="s">
        <v>18</v>
      </c>
      <c r="C35">
        <v>170</v>
      </c>
      <c r="E35" t="s">
        <v>19</v>
      </c>
      <c r="F35" t="s">
        <v>20</v>
      </c>
      <c r="G35" t="s">
        <v>17</v>
      </c>
      <c r="H35">
        <f>MONTH(Table1[[#This Row],[Date]])</f>
        <v>1</v>
      </c>
      <c r="I35" s="2">
        <f>WEEKDAY(Table1[[#This Row],[Date]])</f>
        <v>7</v>
      </c>
      <c r="J35">
        <f>Table1[[#This Row],[Credit]]-Table1[[#This Row],[Debit]]</f>
        <v>-170</v>
      </c>
    </row>
    <row r="36" spans="1:10">
      <c r="A36" s="1">
        <v>44584</v>
      </c>
      <c r="B36" t="s">
        <v>47</v>
      </c>
      <c r="C36">
        <v>37</v>
      </c>
      <c r="E36" t="s">
        <v>33</v>
      </c>
      <c r="F36" t="s">
        <v>16</v>
      </c>
      <c r="G36" t="s">
        <v>17</v>
      </c>
      <c r="H36">
        <f>MONTH(Table1[[#This Row],[Date]])</f>
        <v>1</v>
      </c>
      <c r="I36" s="2">
        <f>WEEKDAY(Table1[[#This Row],[Date]])</f>
        <v>1</v>
      </c>
      <c r="J36">
        <f>Table1[[#This Row],[Credit]]-Table1[[#This Row],[Debit]]</f>
        <v>-37</v>
      </c>
    </row>
    <row r="37" spans="1:10">
      <c r="A37" s="1">
        <v>44585</v>
      </c>
      <c r="B37" t="s">
        <v>48</v>
      </c>
      <c r="C37">
        <v>12</v>
      </c>
      <c r="E37" t="s">
        <v>33</v>
      </c>
      <c r="F37" t="s">
        <v>16</v>
      </c>
      <c r="G37" t="s">
        <v>17</v>
      </c>
      <c r="H37">
        <f>MONTH(Table1[[#This Row],[Date]])</f>
        <v>1</v>
      </c>
      <c r="I37" s="2">
        <f>WEEKDAY(Table1[[#This Row],[Date]])</f>
        <v>2</v>
      </c>
      <c r="J37">
        <f>Table1[[#This Row],[Credit]]-Table1[[#This Row],[Debit]]</f>
        <v>-12</v>
      </c>
    </row>
    <row r="38" spans="1:10">
      <c r="A38" s="1">
        <v>44586</v>
      </c>
      <c r="B38" t="s">
        <v>49</v>
      </c>
      <c r="C38">
        <v>55</v>
      </c>
      <c r="E38" t="s">
        <v>50</v>
      </c>
      <c r="F38" t="s">
        <v>51</v>
      </c>
      <c r="G38" t="s">
        <v>17</v>
      </c>
      <c r="H38">
        <f>MONTH(Table1[[#This Row],[Date]])</f>
        <v>1</v>
      </c>
      <c r="I38" s="2">
        <f>WEEKDAY(Table1[[#This Row],[Date]])</f>
        <v>3</v>
      </c>
      <c r="J38">
        <f>Table1[[#This Row],[Credit]]-Table1[[#This Row],[Debit]]</f>
        <v>-55</v>
      </c>
    </row>
    <row r="39" spans="1:10">
      <c r="A39" s="1">
        <v>44586</v>
      </c>
      <c r="B39" t="s">
        <v>26</v>
      </c>
      <c r="C39">
        <v>63</v>
      </c>
      <c r="E39" t="s">
        <v>52</v>
      </c>
      <c r="F39" t="s">
        <v>39</v>
      </c>
      <c r="G39" t="s">
        <v>17</v>
      </c>
      <c r="H39">
        <f>MONTH(Table1[[#This Row],[Date]])</f>
        <v>1</v>
      </c>
      <c r="I39" s="2">
        <f>WEEKDAY(Table1[[#This Row],[Date]])</f>
        <v>3</v>
      </c>
      <c r="J39">
        <f>Table1[[#This Row],[Credit]]-Table1[[#This Row],[Debit]]</f>
        <v>-63</v>
      </c>
    </row>
    <row r="40" spans="1:10">
      <c r="A40" s="1">
        <v>44586</v>
      </c>
      <c r="B40" t="s">
        <v>14</v>
      </c>
      <c r="C40">
        <v>5</v>
      </c>
      <c r="E40" t="s">
        <v>15</v>
      </c>
      <c r="F40" t="s">
        <v>16</v>
      </c>
      <c r="G40" t="s">
        <v>17</v>
      </c>
      <c r="H40">
        <f>MONTH(Table1[[#This Row],[Date]])</f>
        <v>1</v>
      </c>
      <c r="I40" s="2">
        <f>WEEKDAY(Table1[[#This Row],[Date]])</f>
        <v>3</v>
      </c>
      <c r="J40">
        <f>Table1[[#This Row],[Credit]]-Table1[[#This Row],[Debit]]</f>
        <v>-5</v>
      </c>
    </row>
    <row r="41" spans="1:10">
      <c r="A41" s="1">
        <v>44587</v>
      </c>
      <c r="B41" t="s">
        <v>14</v>
      </c>
      <c r="C41">
        <v>5</v>
      </c>
      <c r="E41" t="s">
        <v>15</v>
      </c>
      <c r="F41" t="s">
        <v>16</v>
      </c>
      <c r="G41" t="s">
        <v>17</v>
      </c>
      <c r="H41">
        <f>MONTH(Table1[[#This Row],[Date]])</f>
        <v>1</v>
      </c>
      <c r="I41" s="2">
        <f>WEEKDAY(Table1[[#This Row],[Date]])</f>
        <v>4</v>
      </c>
      <c r="J41">
        <f>Table1[[#This Row],[Credit]]-Table1[[#This Row],[Debit]]</f>
        <v>-5</v>
      </c>
    </row>
    <row r="42" spans="1:10">
      <c r="A42" s="1">
        <v>44588</v>
      </c>
      <c r="B42" t="s">
        <v>14</v>
      </c>
      <c r="C42">
        <v>5</v>
      </c>
      <c r="E42" t="s">
        <v>15</v>
      </c>
      <c r="F42" t="s">
        <v>16</v>
      </c>
      <c r="G42" t="s">
        <v>17</v>
      </c>
      <c r="H42">
        <f>MONTH(Table1[[#This Row],[Date]])</f>
        <v>1</v>
      </c>
      <c r="I42" s="2">
        <f>WEEKDAY(Table1[[#This Row],[Date]])</f>
        <v>5</v>
      </c>
      <c r="J42">
        <f>Table1[[#This Row],[Credit]]-Table1[[#This Row],[Debit]]</f>
        <v>-5</v>
      </c>
    </row>
    <row r="43" spans="1:10">
      <c r="A43" s="1">
        <v>44589</v>
      </c>
      <c r="B43" t="s">
        <v>14</v>
      </c>
      <c r="C43">
        <v>5</v>
      </c>
      <c r="E43" t="s">
        <v>15</v>
      </c>
      <c r="F43" t="s">
        <v>16</v>
      </c>
      <c r="G43" t="s">
        <v>17</v>
      </c>
      <c r="H43">
        <f>MONTH(Table1[[#This Row],[Date]])</f>
        <v>1</v>
      </c>
      <c r="I43" s="2">
        <f>WEEKDAY(Table1[[#This Row],[Date]])</f>
        <v>6</v>
      </c>
      <c r="J43">
        <f>Table1[[#This Row],[Credit]]-Table1[[#This Row],[Debit]]</f>
        <v>-5</v>
      </c>
    </row>
    <row r="44" spans="1:10">
      <c r="A44" s="1">
        <v>44590</v>
      </c>
      <c r="B44" t="s">
        <v>14</v>
      </c>
      <c r="C44">
        <v>5</v>
      </c>
      <c r="E44" t="s">
        <v>15</v>
      </c>
      <c r="F44" t="s">
        <v>16</v>
      </c>
      <c r="G44" t="s">
        <v>17</v>
      </c>
      <c r="H44">
        <f>MONTH(Table1[[#This Row],[Date]])</f>
        <v>1</v>
      </c>
      <c r="I44" s="2">
        <f>WEEKDAY(Table1[[#This Row],[Date]])</f>
        <v>7</v>
      </c>
      <c r="J44">
        <f>Table1[[#This Row],[Credit]]-Table1[[#This Row],[Debit]]</f>
        <v>-5</v>
      </c>
    </row>
    <row r="45" spans="1:10">
      <c r="A45" s="1">
        <v>44590</v>
      </c>
      <c r="B45" t="s">
        <v>18</v>
      </c>
      <c r="C45">
        <v>162</v>
      </c>
      <c r="E45" t="s">
        <v>19</v>
      </c>
      <c r="F45" t="s">
        <v>20</v>
      </c>
      <c r="G45" t="s">
        <v>17</v>
      </c>
      <c r="H45">
        <f>MONTH(Table1[[#This Row],[Date]])</f>
        <v>1</v>
      </c>
      <c r="I45" s="2">
        <f>WEEKDAY(Table1[[#This Row],[Date]])</f>
        <v>7</v>
      </c>
      <c r="J45">
        <f>Table1[[#This Row],[Credit]]-Table1[[#This Row],[Debit]]</f>
        <v>-162</v>
      </c>
    </row>
    <row r="46" spans="1:10">
      <c r="A46" s="1">
        <v>44591</v>
      </c>
      <c r="B46" t="s">
        <v>53</v>
      </c>
      <c r="C46">
        <v>125</v>
      </c>
      <c r="E46" t="s">
        <v>31</v>
      </c>
      <c r="F46" t="s">
        <v>29</v>
      </c>
      <c r="G46" t="s">
        <v>17</v>
      </c>
      <c r="H46">
        <f>MONTH(Table1[[#This Row],[Date]])</f>
        <v>1</v>
      </c>
      <c r="I46" s="2">
        <f>WEEKDAY(Table1[[#This Row],[Date]])</f>
        <v>1</v>
      </c>
      <c r="J46">
        <f>Table1[[#This Row],[Credit]]-Table1[[#This Row],[Debit]]</f>
        <v>-125</v>
      </c>
    </row>
    <row r="47" spans="1:10">
      <c r="A47" s="1">
        <v>44591</v>
      </c>
      <c r="B47" t="s">
        <v>54</v>
      </c>
      <c r="C47">
        <v>175</v>
      </c>
      <c r="E47" t="s">
        <v>28</v>
      </c>
      <c r="F47" t="s">
        <v>29</v>
      </c>
      <c r="G47" t="s">
        <v>17</v>
      </c>
      <c r="H47">
        <f>MONTH(Table1[[#This Row],[Date]])</f>
        <v>1</v>
      </c>
      <c r="I47" s="2">
        <f>WEEKDAY(Table1[[#This Row],[Date]])</f>
        <v>1</v>
      </c>
      <c r="J47">
        <f>Table1[[#This Row],[Credit]]-Table1[[#This Row],[Debit]]</f>
        <v>-175</v>
      </c>
    </row>
    <row r="48" spans="1:10">
      <c r="A48" s="1">
        <v>44592</v>
      </c>
      <c r="B48" t="s">
        <v>55</v>
      </c>
      <c r="C48">
        <v>145</v>
      </c>
      <c r="E48" t="s">
        <v>31</v>
      </c>
      <c r="F48" t="s">
        <v>29</v>
      </c>
      <c r="G48" t="s">
        <v>17</v>
      </c>
      <c r="H48">
        <f>MONTH(Table1[[#This Row],[Date]])</f>
        <v>1</v>
      </c>
      <c r="I48" s="2">
        <f>WEEKDAY(Table1[[#This Row],[Date]])</f>
        <v>2</v>
      </c>
      <c r="J48">
        <f>Table1[[#This Row],[Credit]]-Table1[[#This Row],[Debit]]</f>
        <v>-145</v>
      </c>
    </row>
    <row r="49" spans="1:10">
      <c r="A49" s="1">
        <v>44592</v>
      </c>
      <c r="B49" t="s">
        <v>37</v>
      </c>
      <c r="C49">
        <v>23</v>
      </c>
      <c r="E49" t="s">
        <v>38</v>
      </c>
      <c r="F49" t="s">
        <v>39</v>
      </c>
      <c r="G49" t="s">
        <v>17</v>
      </c>
      <c r="H49">
        <f>MONTH(Table1[[#This Row],[Date]])</f>
        <v>1</v>
      </c>
      <c r="I49" s="2">
        <f>WEEKDAY(Table1[[#This Row],[Date]])</f>
        <v>2</v>
      </c>
      <c r="J49">
        <f>Table1[[#This Row],[Credit]]-Table1[[#This Row],[Debit]]</f>
        <v>-23</v>
      </c>
    </row>
    <row r="50" spans="1:10">
      <c r="A50" s="1">
        <v>44593</v>
      </c>
      <c r="B50" t="s">
        <v>10</v>
      </c>
      <c r="D50">
        <v>5000</v>
      </c>
      <c r="E50" t="s">
        <v>11</v>
      </c>
      <c r="F50" t="s">
        <v>12</v>
      </c>
      <c r="G50" t="s">
        <v>13</v>
      </c>
      <c r="H50">
        <f>MONTH(Table1[[#This Row],[Date]])</f>
        <v>2</v>
      </c>
      <c r="I50" s="2">
        <f>WEEKDAY(Table1[[#This Row],[Date]])</f>
        <v>3</v>
      </c>
      <c r="J50">
        <f>Table1[[#This Row],[Credit]]-Table1[[#This Row],[Debit]]</f>
        <v>5000</v>
      </c>
    </row>
    <row r="51" spans="1:10">
      <c r="A51" s="1">
        <v>44593</v>
      </c>
      <c r="B51" t="s">
        <v>14</v>
      </c>
      <c r="C51">
        <v>5</v>
      </c>
      <c r="E51" t="s">
        <v>15</v>
      </c>
      <c r="F51" t="s">
        <v>16</v>
      </c>
      <c r="G51" t="s">
        <v>17</v>
      </c>
      <c r="H51">
        <f>MONTH(Table1[[#This Row],[Date]])</f>
        <v>2</v>
      </c>
      <c r="I51" s="2">
        <f>WEEKDAY(Table1[[#This Row],[Date]])</f>
        <v>3</v>
      </c>
      <c r="J51">
        <f>Table1[[#This Row],[Credit]]-Table1[[#This Row],[Debit]]</f>
        <v>-5</v>
      </c>
    </row>
    <row r="52" spans="1:10">
      <c r="A52" s="1">
        <v>44594</v>
      </c>
      <c r="B52" t="s">
        <v>18</v>
      </c>
      <c r="C52">
        <v>600</v>
      </c>
      <c r="E52" t="s">
        <v>19</v>
      </c>
      <c r="F52" t="s">
        <v>20</v>
      </c>
      <c r="G52" t="s">
        <v>17</v>
      </c>
      <c r="H52">
        <f>MONTH(Table1[[#This Row],[Date]])</f>
        <v>2</v>
      </c>
      <c r="I52" s="2">
        <f>WEEKDAY(Table1[[#This Row],[Date]])</f>
        <v>4</v>
      </c>
      <c r="J52">
        <f>Table1[[#This Row],[Credit]]-Table1[[#This Row],[Debit]]</f>
        <v>-600</v>
      </c>
    </row>
    <row r="53" spans="1:10">
      <c r="A53" s="1">
        <v>44594</v>
      </c>
      <c r="B53" t="s">
        <v>21</v>
      </c>
      <c r="C53">
        <v>150</v>
      </c>
      <c r="E53" t="s">
        <v>22</v>
      </c>
      <c r="F53" t="s">
        <v>23</v>
      </c>
      <c r="G53" t="s">
        <v>17</v>
      </c>
      <c r="H53">
        <f>MONTH(Table1[[#This Row],[Date]])</f>
        <v>2</v>
      </c>
      <c r="I53" s="2">
        <f>WEEKDAY(Table1[[#This Row],[Date]])</f>
        <v>4</v>
      </c>
      <c r="J53">
        <f>Table1[[#This Row],[Credit]]-Table1[[#This Row],[Debit]]</f>
        <v>-150</v>
      </c>
    </row>
    <row r="54" spans="1:10">
      <c r="A54" s="1">
        <v>44594</v>
      </c>
      <c r="B54" t="s">
        <v>14</v>
      </c>
      <c r="C54">
        <v>5</v>
      </c>
      <c r="E54" t="s">
        <v>15</v>
      </c>
      <c r="F54" t="s">
        <v>16</v>
      </c>
      <c r="G54" t="s">
        <v>17</v>
      </c>
      <c r="H54">
        <f>MONTH(Table1[[#This Row],[Date]])</f>
        <v>2</v>
      </c>
      <c r="I54" s="2">
        <f>WEEKDAY(Table1[[#This Row],[Date]])</f>
        <v>4</v>
      </c>
      <c r="J54">
        <f>Table1[[#This Row],[Credit]]-Table1[[#This Row],[Debit]]</f>
        <v>-5</v>
      </c>
    </row>
    <row r="55" spans="1:10">
      <c r="A55" s="1">
        <v>44595</v>
      </c>
      <c r="B55" t="s">
        <v>14</v>
      </c>
      <c r="C55">
        <v>5</v>
      </c>
      <c r="E55" t="s">
        <v>15</v>
      </c>
      <c r="F55" t="s">
        <v>16</v>
      </c>
      <c r="G55" t="s">
        <v>17</v>
      </c>
      <c r="H55">
        <f>MONTH(Table1[[#This Row],[Date]])</f>
        <v>2</v>
      </c>
      <c r="I55" s="2">
        <f>WEEKDAY(Table1[[#This Row],[Date]])</f>
        <v>5</v>
      </c>
      <c r="J55">
        <f>Table1[[#This Row],[Credit]]-Table1[[#This Row],[Debit]]</f>
        <v>-5</v>
      </c>
    </row>
    <row r="56" spans="1:10">
      <c r="A56" s="1">
        <v>44596</v>
      </c>
      <c r="B56" t="s">
        <v>14</v>
      </c>
      <c r="C56">
        <v>5</v>
      </c>
      <c r="E56" t="s">
        <v>15</v>
      </c>
      <c r="F56" t="s">
        <v>16</v>
      </c>
      <c r="G56" t="s">
        <v>17</v>
      </c>
      <c r="H56">
        <f>MONTH(Table1[[#This Row],[Date]])</f>
        <v>2</v>
      </c>
      <c r="I56" s="2">
        <f>WEEKDAY(Table1[[#This Row],[Date]])</f>
        <v>6</v>
      </c>
      <c r="J56">
        <f>Table1[[#This Row],[Credit]]-Table1[[#This Row],[Debit]]</f>
        <v>-5</v>
      </c>
    </row>
    <row r="57" spans="1:10">
      <c r="A57" s="1">
        <v>44597</v>
      </c>
      <c r="B57" t="s">
        <v>14</v>
      </c>
      <c r="C57">
        <v>5</v>
      </c>
      <c r="E57" t="s">
        <v>15</v>
      </c>
      <c r="F57" t="s">
        <v>16</v>
      </c>
      <c r="G57" t="s">
        <v>17</v>
      </c>
      <c r="H57">
        <f>MONTH(Table1[[#This Row],[Date]])</f>
        <v>2</v>
      </c>
      <c r="I57" s="2">
        <f>WEEKDAY(Table1[[#This Row],[Date]])</f>
        <v>7</v>
      </c>
      <c r="J57">
        <f>Table1[[#This Row],[Credit]]-Table1[[#This Row],[Debit]]</f>
        <v>-5</v>
      </c>
    </row>
    <row r="58" spans="1:10">
      <c r="A58" s="1">
        <v>44597</v>
      </c>
      <c r="B58" t="s">
        <v>18</v>
      </c>
      <c r="C58">
        <v>205</v>
      </c>
      <c r="E58" t="s">
        <v>19</v>
      </c>
      <c r="F58" t="s">
        <v>20</v>
      </c>
      <c r="G58" t="s">
        <v>17</v>
      </c>
      <c r="H58">
        <f>MONTH(Table1[[#This Row],[Date]])</f>
        <v>2</v>
      </c>
      <c r="I58" s="2">
        <f>WEEKDAY(Table1[[#This Row],[Date]])</f>
        <v>7</v>
      </c>
      <c r="J58">
        <f>Table1[[#This Row],[Credit]]-Table1[[#This Row],[Debit]]</f>
        <v>-205</v>
      </c>
    </row>
    <row r="59" spans="1:10">
      <c r="A59" s="1">
        <v>44600</v>
      </c>
      <c r="B59" t="s">
        <v>24</v>
      </c>
      <c r="C59">
        <v>51.1</v>
      </c>
      <c r="E59" t="s">
        <v>25</v>
      </c>
      <c r="F59" t="s">
        <v>20</v>
      </c>
      <c r="G59" t="s">
        <v>17</v>
      </c>
      <c r="H59">
        <f>MONTH(Table1[[#This Row],[Date]])</f>
        <v>2</v>
      </c>
      <c r="I59" s="2">
        <f>WEEKDAY(Table1[[#This Row],[Date]])</f>
        <v>3</v>
      </c>
      <c r="J59">
        <f>Table1[[#This Row],[Credit]]-Table1[[#This Row],[Debit]]</f>
        <v>-51.1</v>
      </c>
    </row>
    <row r="60" spans="1:10">
      <c r="A60" s="1">
        <v>44600</v>
      </c>
      <c r="B60" t="s">
        <v>14</v>
      </c>
      <c r="C60">
        <v>5</v>
      </c>
      <c r="E60" t="s">
        <v>15</v>
      </c>
      <c r="F60" t="s">
        <v>16</v>
      </c>
      <c r="G60" t="s">
        <v>17</v>
      </c>
      <c r="H60">
        <f>MONTH(Table1[[#This Row],[Date]])</f>
        <v>2</v>
      </c>
      <c r="I60" s="2">
        <f>WEEKDAY(Table1[[#This Row],[Date]])</f>
        <v>3</v>
      </c>
      <c r="J60">
        <f>Table1[[#This Row],[Credit]]-Table1[[#This Row],[Debit]]</f>
        <v>-5</v>
      </c>
    </row>
    <row r="61" spans="1:10">
      <c r="A61" s="1">
        <v>44601</v>
      </c>
      <c r="B61" t="s">
        <v>34</v>
      </c>
      <c r="C61">
        <v>550</v>
      </c>
      <c r="E61" t="s">
        <v>56</v>
      </c>
      <c r="F61" t="s">
        <v>36</v>
      </c>
      <c r="G61" t="s">
        <v>17</v>
      </c>
      <c r="H61" s="3">
        <f>MONTH(Table1[[#This Row],[Date]])</f>
        <v>2</v>
      </c>
      <c r="I61" s="2">
        <f>WEEKDAY(Table1[[#This Row],[Date]])</f>
        <v>4</v>
      </c>
      <c r="J61" s="3">
        <f>Table1[[#This Row],[Credit]]-Table1[[#This Row],[Debit]]</f>
        <v>-550</v>
      </c>
    </row>
    <row r="62" spans="1:10">
      <c r="A62" s="1">
        <v>44601</v>
      </c>
      <c r="B62" t="s">
        <v>14</v>
      </c>
      <c r="C62">
        <v>5</v>
      </c>
      <c r="E62" t="s">
        <v>15</v>
      </c>
      <c r="F62" t="s">
        <v>16</v>
      </c>
      <c r="G62" t="s">
        <v>17</v>
      </c>
      <c r="H62">
        <f>MONTH(Table1[[#This Row],[Date]])</f>
        <v>2</v>
      </c>
      <c r="I62" s="2">
        <f>WEEKDAY(Table1[[#This Row],[Date]])</f>
        <v>4</v>
      </c>
      <c r="J62">
        <f>Table1[[#This Row],[Credit]]-Table1[[#This Row],[Debit]]</f>
        <v>-5</v>
      </c>
    </row>
    <row r="63" spans="1:10">
      <c r="A63" s="1">
        <v>44602</v>
      </c>
      <c r="B63" t="s">
        <v>26</v>
      </c>
      <c r="C63">
        <v>78</v>
      </c>
      <c r="E63" t="s">
        <v>52</v>
      </c>
      <c r="F63" t="s">
        <v>39</v>
      </c>
      <c r="G63" t="s">
        <v>17</v>
      </c>
      <c r="H63">
        <f>MONTH(Table1[[#This Row],[Date]])</f>
        <v>2</v>
      </c>
      <c r="I63" s="2">
        <f>WEEKDAY(Table1[[#This Row],[Date]])</f>
        <v>5</v>
      </c>
      <c r="J63">
        <f>Table1[[#This Row],[Credit]]-Table1[[#This Row],[Debit]]</f>
        <v>-78</v>
      </c>
    </row>
    <row r="64" spans="1:10">
      <c r="A64" s="1">
        <v>44602</v>
      </c>
      <c r="B64" t="s">
        <v>14</v>
      </c>
      <c r="C64">
        <v>5</v>
      </c>
      <c r="E64" t="s">
        <v>15</v>
      </c>
      <c r="F64" t="s">
        <v>16</v>
      </c>
      <c r="G64" t="s">
        <v>17</v>
      </c>
      <c r="H64">
        <f>MONTH(Table1[[#This Row],[Date]])</f>
        <v>2</v>
      </c>
      <c r="I64" s="2">
        <f>WEEKDAY(Table1[[#This Row],[Date]])</f>
        <v>5</v>
      </c>
      <c r="J64">
        <f>Table1[[#This Row],[Credit]]-Table1[[#This Row],[Debit]]</f>
        <v>-5</v>
      </c>
    </row>
    <row r="65" spans="1:10">
      <c r="A65" s="1">
        <v>44603</v>
      </c>
      <c r="B65" t="s">
        <v>14</v>
      </c>
      <c r="C65">
        <v>5</v>
      </c>
      <c r="E65" t="s">
        <v>15</v>
      </c>
      <c r="F65" t="s">
        <v>16</v>
      </c>
      <c r="G65" t="s">
        <v>17</v>
      </c>
      <c r="H65">
        <f>MONTH(Table1[[#This Row],[Date]])</f>
        <v>2</v>
      </c>
      <c r="I65" s="2">
        <f>WEEKDAY(Table1[[#This Row],[Date]])</f>
        <v>6</v>
      </c>
      <c r="J65">
        <f>Table1[[#This Row],[Credit]]-Table1[[#This Row],[Debit]]</f>
        <v>-5</v>
      </c>
    </row>
    <row r="66" spans="1:10">
      <c r="A66" s="1">
        <v>44604</v>
      </c>
      <c r="B66" t="s">
        <v>18</v>
      </c>
      <c r="C66">
        <v>135.9</v>
      </c>
      <c r="E66" t="s">
        <v>19</v>
      </c>
      <c r="F66" t="s">
        <v>20</v>
      </c>
      <c r="G66" t="s">
        <v>17</v>
      </c>
      <c r="H66">
        <f>MONTH(Table1[[#This Row],[Date]])</f>
        <v>2</v>
      </c>
      <c r="I66" s="2">
        <f>WEEKDAY(Table1[[#This Row],[Date]])</f>
        <v>7</v>
      </c>
      <c r="J66">
        <f>Table1[[#This Row],[Credit]]-Table1[[#This Row],[Debit]]</f>
        <v>-135.9</v>
      </c>
    </row>
    <row r="67" spans="1:10">
      <c r="A67" s="1">
        <v>44604</v>
      </c>
      <c r="B67" t="s">
        <v>14</v>
      </c>
      <c r="C67">
        <v>5</v>
      </c>
      <c r="E67" t="s">
        <v>15</v>
      </c>
      <c r="F67" t="s">
        <v>16</v>
      </c>
      <c r="G67" t="s">
        <v>17</v>
      </c>
      <c r="H67">
        <f>MONTH(Table1[[#This Row],[Date]])</f>
        <v>2</v>
      </c>
      <c r="I67" s="2">
        <f>WEEKDAY(Table1[[#This Row],[Date]])</f>
        <v>7</v>
      </c>
      <c r="J67">
        <f>Table1[[#This Row],[Credit]]-Table1[[#This Row],[Debit]]</f>
        <v>-5</v>
      </c>
    </row>
    <row r="68" spans="1:10">
      <c r="A68" s="1">
        <v>44605</v>
      </c>
      <c r="B68" t="s">
        <v>14</v>
      </c>
      <c r="C68">
        <v>5</v>
      </c>
      <c r="E68" t="s">
        <v>15</v>
      </c>
      <c r="F68" t="s">
        <v>16</v>
      </c>
      <c r="G68" t="s">
        <v>17</v>
      </c>
      <c r="H68">
        <f>MONTH(Table1[[#This Row],[Date]])</f>
        <v>2</v>
      </c>
      <c r="I68" s="2">
        <f>WEEKDAY(Table1[[#This Row],[Date]])</f>
        <v>1</v>
      </c>
      <c r="J68">
        <f>Table1[[#This Row],[Credit]]-Table1[[#This Row],[Debit]]</f>
        <v>-5</v>
      </c>
    </row>
    <row r="69" spans="1:10">
      <c r="A69" s="1">
        <v>44605</v>
      </c>
      <c r="B69" t="s">
        <v>27</v>
      </c>
      <c r="C69">
        <v>40.9</v>
      </c>
      <c r="E69" t="s">
        <v>28</v>
      </c>
      <c r="F69" t="s">
        <v>29</v>
      </c>
      <c r="G69" t="s">
        <v>17</v>
      </c>
      <c r="H69">
        <f>MONTH(Table1[[#This Row],[Date]])</f>
        <v>2</v>
      </c>
      <c r="I69" s="2">
        <f>WEEKDAY(Table1[[#This Row],[Date]])</f>
        <v>1</v>
      </c>
      <c r="J69">
        <f>Table1[[#This Row],[Credit]]-Table1[[#This Row],[Debit]]</f>
        <v>-40.9</v>
      </c>
    </row>
    <row r="70" spans="1:10">
      <c r="A70" s="1">
        <v>44605</v>
      </c>
      <c r="B70" t="s">
        <v>57</v>
      </c>
      <c r="C70">
        <v>99</v>
      </c>
      <c r="E70" t="s">
        <v>31</v>
      </c>
      <c r="F70" t="s">
        <v>29</v>
      </c>
      <c r="G70" t="s">
        <v>17</v>
      </c>
      <c r="H70">
        <f>MONTH(Table1[[#This Row],[Date]])</f>
        <v>2</v>
      </c>
      <c r="I70" s="2">
        <f>WEEKDAY(Table1[[#This Row],[Date]])</f>
        <v>1</v>
      </c>
      <c r="J70">
        <f>Table1[[#This Row],[Credit]]-Table1[[#This Row],[Debit]]</f>
        <v>-99</v>
      </c>
    </row>
    <row r="71" spans="1:10">
      <c r="A71" s="1">
        <v>44605</v>
      </c>
      <c r="B71" t="s">
        <v>32</v>
      </c>
      <c r="C71">
        <v>53</v>
      </c>
      <c r="E71" t="s">
        <v>33</v>
      </c>
      <c r="F71" t="s">
        <v>16</v>
      </c>
      <c r="G71" t="s">
        <v>17</v>
      </c>
      <c r="H71">
        <f>MONTH(Table1[[#This Row],[Date]])</f>
        <v>2</v>
      </c>
      <c r="I71" s="2">
        <f>WEEKDAY(Table1[[#This Row],[Date]])</f>
        <v>1</v>
      </c>
      <c r="J71">
        <f>Table1[[#This Row],[Credit]]-Table1[[#This Row],[Debit]]</f>
        <v>-53</v>
      </c>
    </row>
    <row r="72" spans="1:10">
      <c r="A72" s="1">
        <v>44606</v>
      </c>
      <c r="B72" t="s">
        <v>37</v>
      </c>
      <c r="C72">
        <v>28.9</v>
      </c>
      <c r="E72" t="s">
        <v>38</v>
      </c>
      <c r="F72" t="s">
        <v>39</v>
      </c>
      <c r="G72" t="s">
        <v>17</v>
      </c>
      <c r="H72">
        <f>MONTH(Table1[[#This Row],[Date]])</f>
        <v>2</v>
      </c>
      <c r="I72" s="2">
        <f>WEEKDAY(Table1[[#This Row],[Date]])</f>
        <v>2</v>
      </c>
      <c r="J72">
        <f>Table1[[#This Row],[Credit]]-Table1[[#This Row],[Debit]]</f>
        <v>-28.9</v>
      </c>
    </row>
    <row r="73" spans="1:10">
      <c r="A73" s="1">
        <v>44607</v>
      </c>
      <c r="B73" t="s">
        <v>13</v>
      </c>
      <c r="D73">
        <v>800</v>
      </c>
      <c r="E73" t="s">
        <v>58</v>
      </c>
      <c r="F73" t="s">
        <v>41</v>
      </c>
      <c r="G73" t="s">
        <v>13</v>
      </c>
      <c r="H73">
        <f>MONTH(Table1[[#This Row],[Date]])</f>
        <v>2</v>
      </c>
      <c r="I73" s="2">
        <f>WEEKDAY(Table1[[#This Row],[Date]])</f>
        <v>3</v>
      </c>
      <c r="J73">
        <f>Table1[[#This Row],[Credit]]-Table1[[#This Row],[Debit]]</f>
        <v>800</v>
      </c>
    </row>
    <row r="74" spans="1:10">
      <c r="A74" s="1">
        <v>44607</v>
      </c>
      <c r="B74" t="s">
        <v>14</v>
      </c>
      <c r="C74">
        <v>5</v>
      </c>
      <c r="E74" t="s">
        <v>15</v>
      </c>
      <c r="F74" t="s">
        <v>16</v>
      </c>
      <c r="G74" t="s">
        <v>17</v>
      </c>
      <c r="H74">
        <f>MONTH(Table1[[#This Row],[Date]])</f>
        <v>2</v>
      </c>
      <c r="I74" s="2">
        <f>WEEKDAY(Table1[[#This Row],[Date]])</f>
        <v>3</v>
      </c>
      <c r="J74">
        <f>Table1[[#This Row],[Credit]]-Table1[[#This Row],[Debit]]</f>
        <v>-5</v>
      </c>
    </row>
    <row r="75" spans="1:10">
      <c r="A75" s="1">
        <v>44608</v>
      </c>
      <c r="B75" t="s">
        <v>14</v>
      </c>
      <c r="C75">
        <v>5</v>
      </c>
      <c r="E75" t="s">
        <v>15</v>
      </c>
      <c r="F75" t="s">
        <v>16</v>
      </c>
      <c r="G75" t="s">
        <v>17</v>
      </c>
      <c r="H75">
        <f>MONTH(Table1[[#This Row],[Date]])</f>
        <v>2</v>
      </c>
      <c r="I75" s="2">
        <f>WEEKDAY(Table1[[#This Row],[Date]])</f>
        <v>4</v>
      </c>
      <c r="J75">
        <f>Table1[[#This Row],[Credit]]-Table1[[#This Row],[Debit]]</f>
        <v>-5</v>
      </c>
    </row>
    <row r="76" spans="1:10">
      <c r="A76" s="1">
        <v>44608</v>
      </c>
      <c r="B76" t="s">
        <v>43</v>
      </c>
      <c r="C76">
        <v>40</v>
      </c>
      <c r="E76" t="s">
        <v>43</v>
      </c>
      <c r="F76" t="s">
        <v>20</v>
      </c>
      <c r="G76" t="s">
        <v>17</v>
      </c>
      <c r="H76">
        <f>MONTH(Table1[[#This Row],[Date]])</f>
        <v>2</v>
      </c>
      <c r="I76" s="2">
        <f>WEEKDAY(Table1[[#This Row],[Date]])</f>
        <v>4</v>
      </c>
      <c r="J76">
        <f>Table1[[#This Row],[Credit]]-Table1[[#This Row],[Debit]]</f>
        <v>-40</v>
      </c>
    </row>
    <row r="77" spans="1:10">
      <c r="A77" s="1">
        <v>44609</v>
      </c>
      <c r="B77" t="s">
        <v>44</v>
      </c>
      <c r="C77">
        <v>45.9</v>
      </c>
      <c r="E77" t="s">
        <v>45</v>
      </c>
      <c r="F77" t="s">
        <v>29</v>
      </c>
      <c r="G77" t="s">
        <v>17</v>
      </c>
      <c r="H77">
        <f>MONTH(Table1[[#This Row],[Date]])</f>
        <v>2</v>
      </c>
      <c r="I77" s="2">
        <f>WEEKDAY(Table1[[#This Row],[Date]])</f>
        <v>5</v>
      </c>
      <c r="J77">
        <f>Table1[[#This Row],[Credit]]-Table1[[#This Row],[Debit]]</f>
        <v>-45.9</v>
      </c>
    </row>
    <row r="78" spans="1:10">
      <c r="A78" s="1">
        <v>44609</v>
      </c>
      <c r="B78" t="s">
        <v>46</v>
      </c>
      <c r="C78">
        <v>35</v>
      </c>
      <c r="E78" t="s">
        <v>28</v>
      </c>
      <c r="F78" t="s">
        <v>29</v>
      </c>
      <c r="G78" t="s">
        <v>17</v>
      </c>
      <c r="H78">
        <f>MONTH(Table1[[#This Row],[Date]])</f>
        <v>2</v>
      </c>
      <c r="I78" s="2">
        <f>WEEKDAY(Table1[[#This Row],[Date]])</f>
        <v>5</v>
      </c>
      <c r="J78">
        <f>Table1[[#This Row],[Credit]]-Table1[[#This Row],[Debit]]</f>
        <v>-35</v>
      </c>
    </row>
    <row r="79" spans="1:10">
      <c r="A79" s="1">
        <v>44609</v>
      </c>
      <c r="B79" t="s">
        <v>14</v>
      </c>
      <c r="C79">
        <v>5</v>
      </c>
      <c r="E79" t="s">
        <v>15</v>
      </c>
      <c r="F79" t="s">
        <v>16</v>
      </c>
      <c r="G79" t="s">
        <v>17</v>
      </c>
      <c r="H79">
        <f>MONTH(Table1[[#This Row],[Date]])</f>
        <v>2</v>
      </c>
      <c r="I79" s="2">
        <f>WEEKDAY(Table1[[#This Row],[Date]])</f>
        <v>5</v>
      </c>
      <c r="J79">
        <f>Table1[[#This Row],[Credit]]-Table1[[#This Row],[Debit]]</f>
        <v>-5</v>
      </c>
    </row>
    <row r="80" spans="1:10">
      <c r="A80" s="1">
        <v>44610</v>
      </c>
      <c r="B80" t="s">
        <v>14</v>
      </c>
      <c r="C80">
        <v>5</v>
      </c>
      <c r="E80" t="s">
        <v>15</v>
      </c>
      <c r="F80" t="s">
        <v>16</v>
      </c>
      <c r="G80" t="s">
        <v>17</v>
      </c>
      <c r="H80">
        <f>MONTH(Table1[[#This Row],[Date]])</f>
        <v>2</v>
      </c>
      <c r="I80" s="2">
        <f>WEEKDAY(Table1[[#This Row],[Date]])</f>
        <v>6</v>
      </c>
      <c r="J80">
        <f>Table1[[#This Row],[Credit]]-Table1[[#This Row],[Debit]]</f>
        <v>-5</v>
      </c>
    </row>
    <row r="81" spans="1:10">
      <c r="A81" s="1">
        <v>44611</v>
      </c>
      <c r="B81" t="s">
        <v>14</v>
      </c>
      <c r="C81">
        <v>5</v>
      </c>
      <c r="E81" t="s">
        <v>15</v>
      </c>
      <c r="F81" t="s">
        <v>16</v>
      </c>
      <c r="G81" t="s">
        <v>17</v>
      </c>
      <c r="H81">
        <f>MONTH(Table1[[#This Row],[Date]])</f>
        <v>2</v>
      </c>
      <c r="I81" s="2">
        <f>WEEKDAY(Table1[[#This Row],[Date]])</f>
        <v>7</v>
      </c>
      <c r="J81">
        <f>Table1[[#This Row],[Credit]]-Table1[[#This Row],[Debit]]</f>
        <v>-5</v>
      </c>
    </row>
    <row r="82" spans="1:10">
      <c r="A82" s="1">
        <v>44611</v>
      </c>
      <c r="B82" t="s">
        <v>18</v>
      </c>
      <c r="C82">
        <v>171</v>
      </c>
      <c r="E82" t="s">
        <v>19</v>
      </c>
      <c r="F82" t="s">
        <v>20</v>
      </c>
      <c r="G82" t="s">
        <v>17</v>
      </c>
      <c r="H82">
        <f>MONTH(Table1[[#This Row],[Date]])</f>
        <v>2</v>
      </c>
      <c r="I82" s="2">
        <f>WEEKDAY(Table1[[#This Row],[Date]])</f>
        <v>7</v>
      </c>
      <c r="J82">
        <f>Table1[[#This Row],[Credit]]-Table1[[#This Row],[Debit]]</f>
        <v>-171</v>
      </c>
    </row>
    <row r="83" spans="1:10">
      <c r="A83" s="1">
        <v>44612</v>
      </c>
      <c r="B83" t="s">
        <v>59</v>
      </c>
      <c r="C83">
        <v>37.9</v>
      </c>
      <c r="E83" t="s">
        <v>33</v>
      </c>
      <c r="F83" t="s">
        <v>16</v>
      </c>
      <c r="G83" t="s">
        <v>17</v>
      </c>
      <c r="H83">
        <f>MONTH(Table1[[#This Row],[Date]])</f>
        <v>2</v>
      </c>
      <c r="I83" s="2">
        <f>WEEKDAY(Table1[[#This Row],[Date]])</f>
        <v>1</v>
      </c>
      <c r="J83">
        <f>Table1[[#This Row],[Credit]]-Table1[[#This Row],[Debit]]</f>
        <v>-37.9</v>
      </c>
    </row>
    <row r="84" spans="1:10">
      <c r="A84" s="1">
        <v>44613</v>
      </c>
      <c r="B84" t="s">
        <v>60</v>
      </c>
      <c r="C84">
        <v>12.9</v>
      </c>
      <c r="E84" t="s">
        <v>33</v>
      </c>
      <c r="F84" t="s">
        <v>16</v>
      </c>
      <c r="G84" t="s">
        <v>17</v>
      </c>
      <c r="H84">
        <f>MONTH(Table1[[#This Row],[Date]])</f>
        <v>2</v>
      </c>
      <c r="I84" s="2">
        <f>WEEKDAY(Table1[[#This Row],[Date]])</f>
        <v>2</v>
      </c>
      <c r="J84">
        <f>Table1[[#This Row],[Credit]]-Table1[[#This Row],[Debit]]</f>
        <v>-12.9</v>
      </c>
    </row>
    <row r="85" spans="1:10">
      <c r="A85" s="1">
        <v>44614</v>
      </c>
      <c r="B85" t="s">
        <v>61</v>
      </c>
      <c r="C85">
        <v>55</v>
      </c>
      <c r="E85" t="s">
        <v>50</v>
      </c>
      <c r="F85" t="s">
        <v>51</v>
      </c>
      <c r="G85" t="s">
        <v>17</v>
      </c>
      <c r="H85">
        <f>MONTH(Table1[[#This Row],[Date]])</f>
        <v>2</v>
      </c>
      <c r="I85" s="2">
        <f>WEEKDAY(Table1[[#This Row],[Date]])</f>
        <v>3</v>
      </c>
      <c r="J85">
        <f>Table1[[#This Row],[Credit]]-Table1[[#This Row],[Debit]]</f>
        <v>-55</v>
      </c>
    </row>
    <row r="86" spans="1:10">
      <c r="A86" s="1">
        <v>44614</v>
      </c>
      <c r="B86" t="s">
        <v>26</v>
      </c>
      <c r="C86">
        <v>64.099999999999994</v>
      </c>
      <c r="E86" t="s">
        <v>52</v>
      </c>
      <c r="F86" t="s">
        <v>39</v>
      </c>
      <c r="G86" t="s">
        <v>17</v>
      </c>
      <c r="H86">
        <f>MONTH(Table1[[#This Row],[Date]])</f>
        <v>2</v>
      </c>
      <c r="I86" s="2">
        <f>WEEKDAY(Table1[[#This Row],[Date]])</f>
        <v>3</v>
      </c>
      <c r="J86">
        <f>Table1[[#This Row],[Credit]]-Table1[[#This Row],[Debit]]</f>
        <v>-64.099999999999994</v>
      </c>
    </row>
    <row r="87" spans="1:10">
      <c r="A87" s="1">
        <v>44614</v>
      </c>
      <c r="B87" t="s">
        <v>14</v>
      </c>
      <c r="C87">
        <v>5</v>
      </c>
      <c r="E87" t="s">
        <v>15</v>
      </c>
      <c r="F87" t="s">
        <v>16</v>
      </c>
      <c r="G87" t="s">
        <v>17</v>
      </c>
      <c r="H87">
        <f>MONTH(Table1[[#This Row],[Date]])</f>
        <v>2</v>
      </c>
      <c r="I87" s="2">
        <f>WEEKDAY(Table1[[#This Row],[Date]])</f>
        <v>3</v>
      </c>
      <c r="J87">
        <f>Table1[[#This Row],[Credit]]-Table1[[#This Row],[Debit]]</f>
        <v>-5</v>
      </c>
    </row>
    <row r="88" spans="1:10">
      <c r="A88" s="1">
        <v>44615</v>
      </c>
      <c r="B88" t="s">
        <v>14</v>
      </c>
      <c r="C88">
        <v>5</v>
      </c>
      <c r="E88" t="s">
        <v>15</v>
      </c>
      <c r="F88" t="s">
        <v>16</v>
      </c>
      <c r="G88" t="s">
        <v>17</v>
      </c>
      <c r="H88">
        <f>MONTH(Table1[[#This Row],[Date]])</f>
        <v>2</v>
      </c>
      <c r="I88" s="2">
        <f>WEEKDAY(Table1[[#This Row],[Date]])</f>
        <v>4</v>
      </c>
      <c r="J88">
        <f>Table1[[#This Row],[Credit]]-Table1[[#This Row],[Debit]]</f>
        <v>-5</v>
      </c>
    </row>
    <row r="89" spans="1:10">
      <c r="A89" s="1">
        <v>44616</v>
      </c>
      <c r="B89" t="s">
        <v>14</v>
      </c>
      <c r="C89">
        <v>5</v>
      </c>
      <c r="E89" t="s">
        <v>15</v>
      </c>
      <c r="F89" t="s">
        <v>16</v>
      </c>
      <c r="G89" t="s">
        <v>17</v>
      </c>
      <c r="H89">
        <f>MONTH(Table1[[#This Row],[Date]])</f>
        <v>2</v>
      </c>
      <c r="I89" s="2">
        <f>WEEKDAY(Table1[[#This Row],[Date]])</f>
        <v>5</v>
      </c>
      <c r="J89">
        <f>Table1[[#This Row],[Credit]]-Table1[[#This Row],[Debit]]</f>
        <v>-5</v>
      </c>
    </row>
    <row r="90" spans="1:10">
      <c r="A90" s="1">
        <v>44617</v>
      </c>
      <c r="B90" t="s">
        <v>14</v>
      </c>
      <c r="C90">
        <v>5</v>
      </c>
      <c r="E90" t="s">
        <v>15</v>
      </c>
      <c r="F90" t="s">
        <v>16</v>
      </c>
      <c r="G90" t="s">
        <v>17</v>
      </c>
      <c r="H90">
        <f>MONTH(Table1[[#This Row],[Date]])</f>
        <v>2</v>
      </c>
      <c r="I90" s="2">
        <f>WEEKDAY(Table1[[#This Row],[Date]])</f>
        <v>6</v>
      </c>
      <c r="J90">
        <f>Table1[[#This Row],[Credit]]-Table1[[#This Row],[Debit]]</f>
        <v>-5</v>
      </c>
    </row>
    <row r="91" spans="1:10">
      <c r="A91" s="1">
        <v>44618</v>
      </c>
      <c r="B91" t="s">
        <v>14</v>
      </c>
      <c r="C91">
        <v>5</v>
      </c>
      <c r="E91" t="s">
        <v>15</v>
      </c>
      <c r="F91" t="s">
        <v>16</v>
      </c>
      <c r="G91" t="s">
        <v>17</v>
      </c>
      <c r="H91">
        <f>MONTH(Table1[[#This Row],[Date]])</f>
        <v>2</v>
      </c>
      <c r="I91" s="2">
        <f>WEEKDAY(Table1[[#This Row],[Date]])</f>
        <v>7</v>
      </c>
      <c r="J91">
        <f>Table1[[#This Row],[Credit]]-Table1[[#This Row],[Debit]]</f>
        <v>-5</v>
      </c>
    </row>
    <row r="92" spans="1:10">
      <c r="A92" s="1">
        <v>44618</v>
      </c>
      <c r="B92" t="s">
        <v>62</v>
      </c>
      <c r="C92">
        <v>162.9</v>
      </c>
      <c r="E92" t="s">
        <v>63</v>
      </c>
      <c r="F92" t="s">
        <v>23</v>
      </c>
      <c r="G92" t="s">
        <v>17</v>
      </c>
      <c r="H92">
        <f>MONTH(Table1[[#This Row],[Date]])</f>
        <v>2</v>
      </c>
      <c r="I92" s="2">
        <f>WEEKDAY(Table1[[#This Row],[Date]])</f>
        <v>7</v>
      </c>
      <c r="J92">
        <f>Table1[[#This Row],[Credit]]-Table1[[#This Row],[Debit]]</f>
        <v>-162.9</v>
      </c>
    </row>
    <row r="93" spans="1:10">
      <c r="A93" s="1">
        <v>44619</v>
      </c>
      <c r="B93" t="s">
        <v>64</v>
      </c>
      <c r="C93">
        <v>125.9</v>
      </c>
      <c r="E93" t="s">
        <v>31</v>
      </c>
      <c r="F93" t="s">
        <v>29</v>
      </c>
      <c r="G93" t="s">
        <v>17</v>
      </c>
      <c r="H93">
        <f>MONTH(Table1[[#This Row],[Date]])</f>
        <v>2</v>
      </c>
      <c r="I93" s="2">
        <f>WEEKDAY(Table1[[#This Row],[Date]])</f>
        <v>1</v>
      </c>
      <c r="J93">
        <f>Table1[[#This Row],[Credit]]-Table1[[#This Row],[Debit]]</f>
        <v>-125.9</v>
      </c>
    </row>
    <row r="94" spans="1:10">
      <c r="A94" s="1">
        <v>44619</v>
      </c>
      <c r="B94" t="s">
        <v>65</v>
      </c>
      <c r="C94">
        <v>137</v>
      </c>
      <c r="E94" t="s">
        <v>31</v>
      </c>
      <c r="F94" t="s">
        <v>29</v>
      </c>
      <c r="G94" t="s">
        <v>17</v>
      </c>
      <c r="H94">
        <f>MONTH(Table1[[#This Row],[Date]])</f>
        <v>2</v>
      </c>
      <c r="I94" s="2">
        <f>WEEKDAY(Table1[[#This Row],[Date]])</f>
        <v>1</v>
      </c>
      <c r="J94">
        <f>Table1[[#This Row],[Credit]]-Table1[[#This Row],[Debit]]</f>
        <v>-137</v>
      </c>
    </row>
    <row r="95" spans="1:10">
      <c r="A95" s="1">
        <v>44620</v>
      </c>
      <c r="B95" t="s">
        <v>55</v>
      </c>
      <c r="C95">
        <v>146.1</v>
      </c>
      <c r="E95" t="s">
        <v>31</v>
      </c>
      <c r="F95" t="s">
        <v>29</v>
      </c>
      <c r="G95" t="s">
        <v>17</v>
      </c>
      <c r="H95">
        <f>MONTH(Table1[[#This Row],[Date]])</f>
        <v>2</v>
      </c>
      <c r="I95" s="2">
        <f>WEEKDAY(Table1[[#This Row],[Date]])</f>
        <v>2</v>
      </c>
      <c r="J95">
        <f>Table1[[#This Row],[Credit]]-Table1[[#This Row],[Debit]]</f>
        <v>-146.1</v>
      </c>
    </row>
    <row r="96" spans="1:10">
      <c r="A96" s="1">
        <v>44620</v>
      </c>
      <c r="B96" t="s">
        <v>37</v>
      </c>
      <c r="C96">
        <v>24.1</v>
      </c>
      <c r="E96" t="s">
        <v>38</v>
      </c>
      <c r="F96" t="s">
        <v>39</v>
      </c>
      <c r="G96" t="s">
        <v>17</v>
      </c>
      <c r="H96">
        <f>MONTH(Table1[[#This Row],[Date]])</f>
        <v>2</v>
      </c>
      <c r="I96" s="2">
        <f>WEEKDAY(Table1[[#This Row],[Date]])</f>
        <v>2</v>
      </c>
      <c r="J96">
        <f>Table1[[#This Row],[Credit]]-Table1[[#This Row],[Debit]]</f>
        <v>-24.1</v>
      </c>
    </row>
    <row r="97" spans="1:10">
      <c r="A97" s="1">
        <v>44621</v>
      </c>
      <c r="B97" t="s">
        <v>10</v>
      </c>
      <c r="D97">
        <v>5000</v>
      </c>
      <c r="E97" t="s">
        <v>11</v>
      </c>
      <c r="F97" t="s">
        <v>12</v>
      </c>
      <c r="G97" t="s">
        <v>13</v>
      </c>
      <c r="H97">
        <f>MONTH(Table1[[#This Row],[Date]])</f>
        <v>3</v>
      </c>
      <c r="I97" s="2">
        <f>WEEKDAY(Table1[[#This Row],[Date]])</f>
        <v>3</v>
      </c>
      <c r="J97">
        <f>Table1[[#This Row],[Credit]]-Table1[[#This Row],[Debit]]</f>
        <v>5000</v>
      </c>
    </row>
    <row r="98" spans="1:10">
      <c r="A98" s="1">
        <v>44621</v>
      </c>
      <c r="B98" t="s">
        <v>14</v>
      </c>
      <c r="C98">
        <v>5</v>
      </c>
      <c r="E98" t="s">
        <v>15</v>
      </c>
      <c r="F98" t="s">
        <v>16</v>
      </c>
      <c r="G98" t="s">
        <v>17</v>
      </c>
      <c r="H98">
        <f>MONTH(Table1[[#This Row],[Date]])</f>
        <v>3</v>
      </c>
      <c r="I98" s="2">
        <f>WEEKDAY(Table1[[#This Row],[Date]])</f>
        <v>3</v>
      </c>
      <c r="J98">
        <f>Table1[[#This Row],[Credit]]-Table1[[#This Row],[Debit]]</f>
        <v>-5</v>
      </c>
    </row>
    <row r="99" spans="1:10">
      <c r="A99" s="1">
        <v>44622</v>
      </c>
      <c r="B99" t="s">
        <v>18</v>
      </c>
      <c r="C99">
        <v>750</v>
      </c>
      <c r="E99" t="s">
        <v>19</v>
      </c>
      <c r="F99" t="s">
        <v>20</v>
      </c>
      <c r="G99" t="s">
        <v>17</v>
      </c>
      <c r="H99">
        <f>MONTH(Table1[[#This Row],[Date]])</f>
        <v>3</v>
      </c>
      <c r="I99" s="2">
        <f>WEEKDAY(Table1[[#This Row],[Date]])</f>
        <v>4</v>
      </c>
      <c r="J99">
        <f>Table1[[#This Row],[Credit]]-Table1[[#This Row],[Debit]]</f>
        <v>-750</v>
      </c>
    </row>
    <row r="100" spans="1:10">
      <c r="A100" s="1">
        <v>44622</v>
      </c>
      <c r="B100" t="s">
        <v>21</v>
      </c>
      <c r="C100">
        <v>150</v>
      </c>
      <c r="E100" t="s">
        <v>22</v>
      </c>
      <c r="F100" t="s">
        <v>23</v>
      </c>
      <c r="G100" t="s">
        <v>17</v>
      </c>
      <c r="H100">
        <f>MONTH(Table1[[#This Row],[Date]])</f>
        <v>3</v>
      </c>
      <c r="I100" s="2">
        <f>WEEKDAY(Table1[[#This Row],[Date]])</f>
        <v>4</v>
      </c>
      <c r="J100">
        <f>Table1[[#This Row],[Credit]]-Table1[[#This Row],[Debit]]</f>
        <v>-150</v>
      </c>
    </row>
    <row r="101" spans="1:10">
      <c r="A101" s="1">
        <v>44622</v>
      </c>
      <c r="B101" t="s">
        <v>14</v>
      </c>
      <c r="C101">
        <v>5</v>
      </c>
      <c r="E101" t="s">
        <v>15</v>
      </c>
      <c r="F101" t="s">
        <v>16</v>
      </c>
      <c r="G101" t="s">
        <v>17</v>
      </c>
      <c r="H101">
        <f>MONTH(Table1[[#This Row],[Date]])</f>
        <v>3</v>
      </c>
      <c r="I101" s="2">
        <f>WEEKDAY(Table1[[#This Row],[Date]])</f>
        <v>4</v>
      </c>
      <c r="J101">
        <f>Table1[[#This Row],[Credit]]-Table1[[#This Row],[Debit]]</f>
        <v>-5</v>
      </c>
    </row>
    <row r="102" spans="1:10">
      <c r="A102" s="1">
        <v>44623</v>
      </c>
      <c r="B102" t="s">
        <v>14</v>
      </c>
      <c r="C102">
        <v>5</v>
      </c>
      <c r="E102" t="s">
        <v>15</v>
      </c>
      <c r="F102" t="s">
        <v>16</v>
      </c>
      <c r="G102" t="s">
        <v>17</v>
      </c>
      <c r="H102">
        <f>MONTH(Table1[[#This Row],[Date]])</f>
        <v>3</v>
      </c>
      <c r="I102" s="2">
        <f>WEEKDAY(Table1[[#This Row],[Date]])</f>
        <v>5</v>
      </c>
      <c r="J102">
        <f>Table1[[#This Row],[Credit]]-Table1[[#This Row],[Debit]]</f>
        <v>-5</v>
      </c>
    </row>
    <row r="103" spans="1:10">
      <c r="A103" s="1">
        <v>44624</v>
      </c>
      <c r="B103" t="s">
        <v>14</v>
      </c>
      <c r="C103">
        <v>5</v>
      </c>
      <c r="E103" t="s">
        <v>15</v>
      </c>
      <c r="F103" t="s">
        <v>16</v>
      </c>
      <c r="G103" t="s">
        <v>17</v>
      </c>
      <c r="H103">
        <f>MONTH(Table1[[#This Row],[Date]])</f>
        <v>3</v>
      </c>
      <c r="I103" s="2">
        <f>WEEKDAY(Table1[[#This Row],[Date]])</f>
        <v>6</v>
      </c>
      <c r="J103">
        <f>Table1[[#This Row],[Credit]]-Table1[[#This Row],[Debit]]</f>
        <v>-5</v>
      </c>
    </row>
    <row r="104" spans="1:10">
      <c r="A104" s="1">
        <v>44625</v>
      </c>
      <c r="B104" t="s">
        <v>14</v>
      </c>
      <c r="C104">
        <v>5</v>
      </c>
      <c r="E104" t="s">
        <v>15</v>
      </c>
      <c r="F104" t="s">
        <v>16</v>
      </c>
      <c r="G104" t="s">
        <v>17</v>
      </c>
      <c r="H104">
        <f>MONTH(Table1[[#This Row],[Date]])</f>
        <v>3</v>
      </c>
      <c r="I104" s="2">
        <f>WEEKDAY(Table1[[#This Row],[Date]])</f>
        <v>7</v>
      </c>
      <c r="J104">
        <f>Table1[[#This Row],[Credit]]-Table1[[#This Row],[Debit]]</f>
        <v>-5</v>
      </c>
    </row>
    <row r="105" spans="1:10">
      <c r="A105" s="1">
        <v>44625</v>
      </c>
      <c r="B105" t="s">
        <v>18</v>
      </c>
      <c r="C105">
        <v>149</v>
      </c>
      <c r="E105" t="s">
        <v>19</v>
      </c>
      <c r="F105" t="s">
        <v>20</v>
      </c>
      <c r="G105" t="s">
        <v>17</v>
      </c>
      <c r="H105">
        <f>MONTH(Table1[[#This Row],[Date]])</f>
        <v>3</v>
      </c>
      <c r="I105" s="2">
        <f>WEEKDAY(Table1[[#This Row],[Date]])</f>
        <v>7</v>
      </c>
      <c r="J105">
        <f>Table1[[#This Row],[Credit]]-Table1[[#This Row],[Debit]]</f>
        <v>-149</v>
      </c>
    </row>
    <row r="106" spans="1:10">
      <c r="A106" s="1">
        <v>44628</v>
      </c>
      <c r="B106" t="s">
        <v>24</v>
      </c>
      <c r="C106">
        <v>52.1</v>
      </c>
      <c r="E106" t="s">
        <v>25</v>
      </c>
      <c r="F106" t="s">
        <v>20</v>
      </c>
      <c r="G106" t="s">
        <v>17</v>
      </c>
      <c r="H106">
        <f>MONTH(Table1[[#This Row],[Date]])</f>
        <v>3</v>
      </c>
      <c r="I106" s="2">
        <f>WEEKDAY(Table1[[#This Row],[Date]])</f>
        <v>3</v>
      </c>
      <c r="J106">
        <f>Table1[[#This Row],[Credit]]-Table1[[#This Row],[Debit]]</f>
        <v>-52.1</v>
      </c>
    </row>
    <row r="107" spans="1:10">
      <c r="A107" s="1">
        <v>44628</v>
      </c>
      <c r="B107" t="s">
        <v>14</v>
      </c>
      <c r="C107">
        <v>5</v>
      </c>
      <c r="E107" t="s">
        <v>15</v>
      </c>
      <c r="F107" t="s">
        <v>16</v>
      </c>
      <c r="G107" t="s">
        <v>17</v>
      </c>
      <c r="H107">
        <f>MONTH(Table1[[#This Row],[Date]])</f>
        <v>3</v>
      </c>
      <c r="I107" s="2">
        <f>WEEKDAY(Table1[[#This Row],[Date]])</f>
        <v>3</v>
      </c>
      <c r="J107">
        <f>Table1[[#This Row],[Credit]]-Table1[[#This Row],[Debit]]</f>
        <v>-5</v>
      </c>
    </row>
    <row r="108" spans="1:10">
      <c r="A108" s="1">
        <v>44629</v>
      </c>
      <c r="B108" t="s">
        <v>14</v>
      </c>
      <c r="C108">
        <v>5</v>
      </c>
      <c r="E108" t="s">
        <v>15</v>
      </c>
      <c r="F108" t="s">
        <v>16</v>
      </c>
      <c r="G108" t="s">
        <v>17</v>
      </c>
      <c r="H108">
        <f>MONTH(Table1[[#This Row],[Date]])</f>
        <v>3</v>
      </c>
      <c r="I108" s="2">
        <f>WEEKDAY(Table1[[#This Row],[Date]])</f>
        <v>4</v>
      </c>
      <c r="J108">
        <f>Table1[[#This Row],[Credit]]-Table1[[#This Row],[Debit]]</f>
        <v>-5</v>
      </c>
    </row>
    <row r="109" spans="1:10">
      <c r="A109" s="1">
        <v>44630</v>
      </c>
      <c r="B109" t="s">
        <v>26</v>
      </c>
      <c r="C109">
        <v>78.900000000000006</v>
      </c>
      <c r="E109" t="s">
        <v>52</v>
      </c>
      <c r="F109" t="s">
        <v>39</v>
      </c>
      <c r="G109" t="s">
        <v>17</v>
      </c>
      <c r="H109">
        <f>MONTH(Table1[[#This Row],[Date]])</f>
        <v>3</v>
      </c>
      <c r="I109" s="2">
        <f>WEEKDAY(Table1[[#This Row],[Date]])</f>
        <v>5</v>
      </c>
      <c r="J109">
        <f>Table1[[#This Row],[Credit]]-Table1[[#This Row],[Debit]]</f>
        <v>-78.900000000000006</v>
      </c>
    </row>
    <row r="110" spans="1:10">
      <c r="A110" s="1">
        <v>44630</v>
      </c>
      <c r="B110" t="s">
        <v>14</v>
      </c>
      <c r="C110">
        <v>5</v>
      </c>
      <c r="E110" t="s">
        <v>15</v>
      </c>
      <c r="F110" t="s">
        <v>16</v>
      </c>
      <c r="G110" t="s">
        <v>17</v>
      </c>
      <c r="H110">
        <f>MONTH(Table1[[#This Row],[Date]])</f>
        <v>3</v>
      </c>
      <c r="I110" s="2">
        <f>WEEKDAY(Table1[[#This Row],[Date]])</f>
        <v>5</v>
      </c>
      <c r="J110">
        <f>Table1[[#This Row],[Credit]]-Table1[[#This Row],[Debit]]</f>
        <v>-5</v>
      </c>
    </row>
    <row r="111" spans="1:10">
      <c r="A111" s="1">
        <v>44631</v>
      </c>
      <c r="B111" t="s">
        <v>14</v>
      </c>
      <c r="C111">
        <v>5</v>
      </c>
      <c r="E111" t="s">
        <v>15</v>
      </c>
      <c r="F111" t="s">
        <v>16</v>
      </c>
      <c r="G111" t="s">
        <v>17</v>
      </c>
      <c r="H111">
        <f>MONTH(Table1[[#This Row],[Date]])</f>
        <v>3</v>
      </c>
      <c r="I111" s="2">
        <f>WEEKDAY(Table1[[#This Row],[Date]])</f>
        <v>6</v>
      </c>
      <c r="J111">
        <f>Table1[[#This Row],[Credit]]-Table1[[#This Row],[Debit]]</f>
        <v>-5</v>
      </c>
    </row>
    <row r="112" spans="1:10">
      <c r="A112" s="1">
        <v>44632</v>
      </c>
      <c r="B112" t="s">
        <v>18</v>
      </c>
      <c r="C112">
        <v>137</v>
      </c>
      <c r="E112" t="s">
        <v>19</v>
      </c>
      <c r="F112" t="s">
        <v>20</v>
      </c>
      <c r="G112" t="s">
        <v>17</v>
      </c>
      <c r="H112">
        <f>MONTH(Table1[[#This Row],[Date]])</f>
        <v>3</v>
      </c>
      <c r="I112" s="2">
        <f>WEEKDAY(Table1[[#This Row],[Date]])</f>
        <v>7</v>
      </c>
      <c r="J112">
        <f>Table1[[#This Row],[Credit]]-Table1[[#This Row],[Debit]]</f>
        <v>-137</v>
      </c>
    </row>
    <row r="113" spans="1:10">
      <c r="A113" s="1">
        <v>44632</v>
      </c>
      <c r="B113" t="s">
        <v>14</v>
      </c>
      <c r="C113">
        <v>5</v>
      </c>
      <c r="E113" t="s">
        <v>15</v>
      </c>
      <c r="F113" t="s">
        <v>16</v>
      </c>
      <c r="G113" t="s">
        <v>17</v>
      </c>
      <c r="H113">
        <f>MONTH(Table1[[#This Row],[Date]])</f>
        <v>3</v>
      </c>
      <c r="I113" s="2">
        <f>WEEKDAY(Table1[[#This Row],[Date]])</f>
        <v>7</v>
      </c>
      <c r="J113">
        <f>Table1[[#This Row],[Credit]]-Table1[[#This Row],[Debit]]</f>
        <v>-5</v>
      </c>
    </row>
    <row r="114" spans="1:10">
      <c r="A114" s="1">
        <v>44633</v>
      </c>
      <c r="B114" t="s">
        <v>14</v>
      </c>
      <c r="C114">
        <v>5</v>
      </c>
      <c r="E114" t="s">
        <v>15</v>
      </c>
      <c r="F114" t="s">
        <v>16</v>
      </c>
      <c r="G114" t="s">
        <v>17</v>
      </c>
      <c r="H114">
        <f>MONTH(Table1[[#This Row],[Date]])</f>
        <v>3</v>
      </c>
      <c r="I114" s="2">
        <f>WEEKDAY(Table1[[#This Row],[Date]])</f>
        <v>1</v>
      </c>
      <c r="J114">
        <f>Table1[[#This Row],[Credit]]-Table1[[#This Row],[Debit]]</f>
        <v>-5</v>
      </c>
    </row>
    <row r="115" spans="1:10">
      <c r="A115" s="1">
        <v>44633</v>
      </c>
      <c r="B115" t="s">
        <v>27</v>
      </c>
      <c r="C115">
        <v>41.8</v>
      </c>
      <c r="E115" t="s">
        <v>28</v>
      </c>
      <c r="F115" t="s">
        <v>29</v>
      </c>
      <c r="G115" t="s">
        <v>17</v>
      </c>
      <c r="H115">
        <f>MONTH(Table1[[#This Row],[Date]])</f>
        <v>3</v>
      </c>
      <c r="I115" s="2">
        <f>WEEKDAY(Table1[[#This Row],[Date]])</f>
        <v>1</v>
      </c>
      <c r="J115">
        <f>Table1[[#This Row],[Credit]]-Table1[[#This Row],[Debit]]</f>
        <v>-41.8</v>
      </c>
    </row>
    <row r="116" spans="1:10">
      <c r="A116" s="1">
        <v>44633</v>
      </c>
      <c r="B116" t="s">
        <v>66</v>
      </c>
      <c r="C116">
        <v>99.9</v>
      </c>
      <c r="E116" t="s">
        <v>31</v>
      </c>
      <c r="F116" t="s">
        <v>29</v>
      </c>
      <c r="G116" t="s">
        <v>17</v>
      </c>
      <c r="H116">
        <f>MONTH(Table1[[#This Row],[Date]])</f>
        <v>3</v>
      </c>
      <c r="I116" s="2">
        <f>WEEKDAY(Table1[[#This Row],[Date]])</f>
        <v>1</v>
      </c>
      <c r="J116">
        <f>Table1[[#This Row],[Credit]]-Table1[[#This Row],[Debit]]</f>
        <v>-99.9</v>
      </c>
    </row>
    <row r="117" spans="1:10">
      <c r="A117" s="1">
        <v>44633</v>
      </c>
      <c r="B117" t="s">
        <v>32</v>
      </c>
      <c r="C117">
        <v>54</v>
      </c>
      <c r="E117" t="s">
        <v>33</v>
      </c>
      <c r="F117" t="s">
        <v>16</v>
      </c>
      <c r="G117" t="s">
        <v>17</v>
      </c>
      <c r="H117">
        <f>MONTH(Table1[[#This Row],[Date]])</f>
        <v>3</v>
      </c>
      <c r="I117" s="2">
        <f>WEEKDAY(Table1[[#This Row],[Date]])</f>
        <v>1</v>
      </c>
      <c r="J117">
        <f>Table1[[#This Row],[Credit]]-Table1[[#This Row],[Debit]]</f>
        <v>-54</v>
      </c>
    </row>
    <row r="118" spans="1:10">
      <c r="A118" s="1">
        <v>44634</v>
      </c>
      <c r="B118" t="s">
        <v>37</v>
      </c>
      <c r="C118">
        <v>30</v>
      </c>
      <c r="E118" t="s">
        <v>38</v>
      </c>
      <c r="F118" t="s">
        <v>39</v>
      </c>
      <c r="G118" t="s">
        <v>17</v>
      </c>
      <c r="H118">
        <f>MONTH(Table1[[#This Row],[Date]])</f>
        <v>3</v>
      </c>
      <c r="I118" s="2">
        <f>WEEKDAY(Table1[[#This Row],[Date]])</f>
        <v>2</v>
      </c>
      <c r="J118">
        <f>Table1[[#This Row],[Credit]]-Table1[[#This Row],[Debit]]</f>
        <v>-30</v>
      </c>
    </row>
    <row r="119" spans="1:10">
      <c r="A119" s="1">
        <v>44635</v>
      </c>
      <c r="B119" t="s">
        <v>13</v>
      </c>
      <c r="D119">
        <v>1000</v>
      </c>
      <c r="E119" t="s">
        <v>40</v>
      </c>
      <c r="F119" t="s">
        <v>41</v>
      </c>
      <c r="G119" t="s">
        <v>13</v>
      </c>
      <c r="H119">
        <f>MONTH(Table1[[#This Row],[Date]])</f>
        <v>3</v>
      </c>
      <c r="I119" s="2">
        <f>WEEKDAY(Table1[[#This Row],[Date]])</f>
        <v>3</v>
      </c>
      <c r="J119">
        <f>Table1[[#This Row],[Credit]]-Table1[[#This Row],[Debit]]</f>
        <v>1000</v>
      </c>
    </row>
    <row r="120" spans="1:10">
      <c r="A120" s="1">
        <v>44635</v>
      </c>
      <c r="B120" t="s">
        <v>14</v>
      </c>
      <c r="C120">
        <v>5</v>
      </c>
      <c r="E120" t="s">
        <v>15</v>
      </c>
      <c r="F120" t="s">
        <v>16</v>
      </c>
      <c r="G120" t="s">
        <v>17</v>
      </c>
      <c r="H120">
        <f>MONTH(Table1[[#This Row],[Date]])</f>
        <v>3</v>
      </c>
      <c r="I120" s="2">
        <f>WEEKDAY(Table1[[#This Row],[Date]])</f>
        <v>3</v>
      </c>
      <c r="J120">
        <f>Table1[[#This Row],[Credit]]-Table1[[#This Row],[Debit]]</f>
        <v>-5</v>
      </c>
    </row>
    <row r="121" spans="1:10">
      <c r="A121" s="1">
        <v>44636</v>
      </c>
      <c r="B121" t="s">
        <v>14</v>
      </c>
      <c r="C121">
        <v>5</v>
      </c>
      <c r="E121" t="s">
        <v>15</v>
      </c>
      <c r="F121" t="s">
        <v>16</v>
      </c>
      <c r="G121" t="s">
        <v>17</v>
      </c>
      <c r="H121">
        <f>MONTH(Table1[[#This Row],[Date]])</f>
        <v>3</v>
      </c>
      <c r="I121" s="2">
        <f>WEEKDAY(Table1[[#This Row],[Date]])</f>
        <v>4</v>
      </c>
      <c r="J121">
        <f>Table1[[#This Row],[Credit]]-Table1[[#This Row],[Debit]]</f>
        <v>-5</v>
      </c>
    </row>
    <row r="122" spans="1:10">
      <c r="A122" s="1">
        <v>44636</v>
      </c>
      <c r="B122" t="s">
        <v>67</v>
      </c>
      <c r="C122">
        <v>75</v>
      </c>
      <c r="E122" t="s">
        <v>56</v>
      </c>
      <c r="F122" t="s">
        <v>36</v>
      </c>
      <c r="G122" t="s">
        <v>17</v>
      </c>
      <c r="H122">
        <f>MONTH(Table1[[#This Row],[Date]])</f>
        <v>3</v>
      </c>
      <c r="I122" s="2">
        <f>WEEKDAY(Table1[[#This Row],[Date]])</f>
        <v>4</v>
      </c>
      <c r="J122">
        <f>Table1[[#This Row],[Credit]]-Table1[[#This Row],[Debit]]</f>
        <v>-75</v>
      </c>
    </row>
    <row r="123" spans="1:10">
      <c r="A123" s="1">
        <v>44636</v>
      </c>
      <c r="B123" t="s">
        <v>43</v>
      </c>
      <c r="C123">
        <v>40</v>
      </c>
      <c r="E123" t="s">
        <v>43</v>
      </c>
      <c r="F123" t="s">
        <v>20</v>
      </c>
      <c r="G123" t="s">
        <v>17</v>
      </c>
      <c r="H123">
        <f>MONTH(Table1[[#This Row],[Date]])</f>
        <v>3</v>
      </c>
      <c r="I123" s="2">
        <f>WEEKDAY(Table1[[#This Row],[Date]])</f>
        <v>4</v>
      </c>
      <c r="J123">
        <f>Table1[[#This Row],[Credit]]-Table1[[#This Row],[Debit]]</f>
        <v>-40</v>
      </c>
    </row>
    <row r="124" spans="1:10">
      <c r="A124" s="1">
        <v>44637</v>
      </c>
      <c r="B124" t="s">
        <v>44</v>
      </c>
      <c r="C124">
        <v>46.8</v>
      </c>
      <c r="E124" t="s">
        <v>45</v>
      </c>
      <c r="F124" t="s">
        <v>29</v>
      </c>
      <c r="G124" t="s">
        <v>17</v>
      </c>
      <c r="H124">
        <f>MONTH(Table1[[#This Row],[Date]])</f>
        <v>3</v>
      </c>
      <c r="I124" s="2">
        <f>WEEKDAY(Table1[[#This Row],[Date]])</f>
        <v>5</v>
      </c>
      <c r="J124">
        <f>Table1[[#This Row],[Credit]]-Table1[[#This Row],[Debit]]</f>
        <v>-46.8</v>
      </c>
    </row>
    <row r="125" spans="1:10">
      <c r="A125" s="1">
        <v>44637</v>
      </c>
      <c r="B125" t="s">
        <v>46</v>
      </c>
      <c r="C125">
        <v>35</v>
      </c>
      <c r="E125" t="s">
        <v>28</v>
      </c>
      <c r="F125" t="s">
        <v>29</v>
      </c>
      <c r="G125" t="s">
        <v>17</v>
      </c>
      <c r="H125">
        <f>MONTH(Table1[[#This Row],[Date]])</f>
        <v>3</v>
      </c>
      <c r="I125" s="2">
        <f>WEEKDAY(Table1[[#This Row],[Date]])</f>
        <v>5</v>
      </c>
      <c r="J125">
        <f>Table1[[#This Row],[Credit]]-Table1[[#This Row],[Debit]]</f>
        <v>-35</v>
      </c>
    </row>
    <row r="126" spans="1:10">
      <c r="A126" s="1">
        <v>44637</v>
      </c>
      <c r="B126" t="s">
        <v>14</v>
      </c>
      <c r="C126">
        <v>5</v>
      </c>
      <c r="E126" t="s">
        <v>15</v>
      </c>
      <c r="F126" t="s">
        <v>16</v>
      </c>
      <c r="G126" t="s">
        <v>17</v>
      </c>
      <c r="H126">
        <f>MONTH(Table1[[#This Row],[Date]])</f>
        <v>3</v>
      </c>
      <c r="I126" s="2">
        <f>WEEKDAY(Table1[[#This Row],[Date]])</f>
        <v>5</v>
      </c>
      <c r="J126">
        <f>Table1[[#This Row],[Credit]]-Table1[[#This Row],[Debit]]</f>
        <v>-5</v>
      </c>
    </row>
    <row r="127" spans="1:10">
      <c r="A127" s="1">
        <v>44638</v>
      </c>
      <c r="B127" t="s">
        <v>14</v>
      </c>
      <c r="C127">
        <v>5</v>
      </c>
      <c r="E127" t="s">
        <v>15</v>
      </c>
      <c r="F127" t="s">
        <v>16</v>
      </c>
      <c r="G127" t="s">
        <v>17</v>
      </c>
      <c r="H127">
        <f>MONTH(Table1[[#This Row],[Date]])</f>
        <v>3</v>
      </c>
      <c r="I127" s="2">
        <f>WEEKDAY(Table1[[#This Row],[Date]])</f>
        <v>6</v>
      </c>
      <c r="J127">
        <f>Table1[[#This Row],[Credit]]-Table1[[#This Row],[Debit]]</f>
        <v>-5</v>
      </c>
    </row>
    <row r="128" spans="1:10">
      <c r="A128" s="1">
        <v>44639</v>
      </c>
      <c r="B128" t="s">
        <v>14</v>
      </c>
      <c r="C128">
        <v>5</v>
      </c>
      <c r="E128" t="s">
        <v>15</v>
      </c>
      <c r="F128" t="s">
        <v>16</v>
      </c>
      <c r="G128" t="s">
        <v>17</v>
      </c>
      <c r="H128">
        <f>MONTH(Table1[[#This Row],[Date]])</f>
        <v>3</v>
      </c>
      <c r="I128" s="2">
        <f>WEEKDAY(Table1[[#This Row],[Date]])</f>
        <v>7</v>
      </c>
      <c r="J128">
        <f>Table1[[#This Row],[Credit]]-Table1[[#This Row],[Debit]]</f>
        <v>-5</v>
      </c>
    </row>
    <row r="129" spans="1:10">
      <c r="A129" s="1">
        <v>44639</v>
      </c>
      <c r="B129" t="s">
        <v>18</v>
      </c>
      <c r="C129">
        <v>171.9</v>
      </c>
      <c r="E129" t="s">
        <v>19</v>
      </c>
      <c r="F129" t="s">
        <v>20</v>
      </c>
      <c r="G129" t="s">
        <v>17</v>
      </c>
      <c r="H129">
        <f>MONTH(Table1[[#This Row],[Date]])</f>
        <v>3</v>
      </c>
      <c r="I129" s="2">
        <f>WEEKDAY(Table1[[#This Row],[Date]])</f>
        <v>7</v>
      </c>
      <c r="J129">
        <f>Table1[[#This Row],[Credit]]-Table1[[#This Row],[Debit]]</f>
        <v>-171.9</v>
      </c>
    </row>
    <row r="130" spans="1:10">
      <c r="A130" s="1">
        <v>44640</v>
      </c>
      <c r="B130" t="s">
        <v>68</v>
      </c>
      <c r="C130">
        <v>39</v>
      </c>
      <c r="E130" t="s">
        <v>33</v>
      </c>
      <c r="F130" t="s">
        <v>16</v>
      </c>
      <c r="G130" t="s">
        <v>17</v>
      </c>
      <c r="H130">
        <f>MONTH(Table1[[#This Row],[Date]])</f>
        <v>3</v>
      </c>
      <c r="I130" s="2">
        <f>WEEKDAY(Table1[[#This Row],[Date]])</f>
        <v>1</v>
      </c>
      <c r="J130">
        <f>Table1[[#This Row],[Credit]]-Table1[[#This Row],[Debit]]</f>
        <v>-39</v>
      </c>
    </row>
    <row r="131" spans="1:10">
      <c r="A131" s="1">
        <v>44641</v>
      </c>
      <c r="B131" t="s">
        <v>69</v>
      </c>
      <c r="C131">
        <v>14</v>
      </c>
      <c r="E131" t="s">
        <v>33</v>
      </c>
      <c r="F131" t="s">
        <v>16</v>
      </c>
      <c r="G131" t="s">
        <v>17</v>
      </c>
      <c r="H131">
        <f>MONTH(Table1[[#This Row],[Date]])</f>
        <v>3</v>
      </c>
      <c r="I131" s="2">
        <f>WEEKDAY(Table1[[#This Row],[Date]])</f>
        <v>2</v>
      </c>
      <c r="J131">
        <f>Table1[[#This Row],[Credit]]-Table1[[#This Row],[Debit]]</f>
        <v>-14</v>
      </c>
    </row>
    <row r="132" spans="1:10">
      <c r="A132" s="1">
        <v>44642</v>
      </c>
      <c r="B132" t="s">
        <v>49</v>
      </c>
      <c r="C132">
        <v>55</v>
      </c>
      <c r="E132" t="s">
        <v>50</v>
      </c>
      <c r="F132" t="s">
        <v>51</v>
      </c>
      <c r="G132" t="s">
        <v>17</v>
      </c>
      <c r="H132">
        <f>MONTH(Table1[[#This Row],[Date]])</f>
        <v>3</v>
      </c>
      <c r="I132" s="2">
        <f>WEEKDAY(Table1[[#This Row],[Date]])</f>
        <v>3</v>
      </c>
      <c r="J132">
        <f>Table1[[#This Row],[Credit]]-Table1[[#This Row],[Debit]]</f>
        <v>-55</v>
      </c>
    </row>
    <row r="133" spans="1:10">
      <c r="A133" s="1">
        <v>44642</v>
      </c>
      <c r="B133" t="s">
        <v>26</v>
      </c>
      <c r="C133">
        <v>65</v>
      </c>
      <c r="E133" t="s">
        <v>52</v>
      </c>
      <c r="F133" t="s">
        <v>39</v>
      </c>
      <c r="G133" t="s">
        <v>17</v>
      </c>
      <c r="H133">
        <f>MONTH(Table1[[#This Row],[Date]])</f>
        <v>3</v>
      </c>
      <c r="I133" s="2">
        <f>WEEKDAY(Table1[[#This Row],[Date]])</f>
        <v>3</v>
      </c>
      <c r="J133">
        <f>Table1[[#This Row],[Credit]]-Table1[[#This Row],[Debit]]</f>
        <v>-65</v>
      </c>
    </row>
    <row r="134" spans="1:10">
      <c r="A134" s="1">
        <v>44642</v>
      </c>
      <c r="B134" t="s">
        <v>14</v>
      </c>
      <c r="C134">
        <v>5</v>
      </c>
      <c r="E134" t="s">
        <v>15</v>
      </c>
      <c r="F134" t="s">
        <v>16</v>
      </c>
      <c r="G134" t="s">
        <v>17</v>
      </c>
      <c r="H134">
        <f>MONTH(Table1[[#This Row],[Date]])</f>
        <v>3</v>
      </c>
      <c r="I134" s="2">
        <f>WEEKDAY(Table1[[#This Row],[Date]])</f>
        <v>3</v>
      </c>
      <c r="J134">
        <f>Table1[[#This Row],[Credit]]-Table1[[#This Row],[Debit]]</f>
        <v>-5</v>
      </c>
    </row>
    <row r="135" spans="1:10">
      <c r="A135" s="1">
        <v>44643</v>
      </c>
      <c r="B135" t="s">
        <v>14</v>
      </c>
      <c r="C135">
        <v>5</v>
      </c>
      <c r="E135" t="s">
        <v>15</v>
      </c>
      <c r="F135" t="s">
        <v>16</v>
      </c>
      <c r="G135" t="s">
        <v>17</v>
      </c>
      <c r="H135">
        <f>MONTH(Table1[[#This Row],[Date]])</f>
        <v>3</v>
      </c>
      <c r="I135" s="2">
        <f>WEEKDAY(Table1[[#This Row],[Date]])</f>
        <v>4</v>
      </c>
      <c r="J135">
        <f>Table1[[#This Row],[Credit]]-Table1[[#This Row],[Debit]]</f>
        <v>-5</v>
      </c>
    </row>
    <row r="136" spans="1:10">
      <c r="A136" s="1">
        <v>44644</v>
      </c>
      <c r="B136" t="s">
        <v>14</v>
      </c>
      <c r="C136">
        <v>5</v>
      </c>
      <c r="E136" t="s">
        <v>15</v>
      </c>
      <c r="F136" t="s">
        <v>16</v>
      </c>
      <c r="G136" t="s">
        <v>17</v>
      </c>
      <c r="H136">
        <f>MONTH(Table1[[#This Row],[Date]])</f>
        <v>3</v>
      </c>
      <c r="I136" s="2">
        <f>WEEKDAY(Table1[[#This Row],[Date]])</f>
        <v>5</v>
      </c>
      <c r="J136">
        <f>Table1[[#This Row],[Credit]]-Table1[[#This Row],[Debit]]</f>
        <v>-5</v>
      </c>
    </row>
    <row r="137" spans="1:10">
      <c r="A137" s="1">
        <v>44645</v>
      </c>
      <c r="B137" t="s">
        <v>14</v>
      </c>
      <c r="C137">
        <v>5</v>
      </c>
      <c r="E137" t="s">
        <v>15</v>
      </c>
      <c r="F137" t="s">
        <v>16</v>
      </c>
      <c r="G137" t="s">
        <v>17</v>
      </c>
      <c r="H137">
        <f>MONTH(Table1[[#This Row],[Date]])</f>
        <v>3</v>
      </c>
      <c r="I137" s="2">
        <f>WEEKDAY(Table1[[#This Row],[Date]])</f>
        <v>6</v>
      </c>
      <c r="J137">
        <f>Table1[[#This Row],[Credit]]-Table1[[#This Row],[Debit]]</f>
        <v>-5</v>
      </c>
    </row>
    <row r="138" spans="1:10">
      <c r="A138" s="1">
        <v>44646</v>
      </c>
      <c r="B138" t="s">
        <v>14</v>
      </c>
      <c r="C138">
        <v>5</v>
      </c>
      <c r="E138" t="s">
        <v>15</v>
      </c>
      <c r="F138" t="s">
        <v>16</v>
      </c>
      <c r="G138" t="s">
        <v>17</v>
      </c>
      <c r="H138">
        <f>MONTH(Table1[[#This Row],[Date]])</f>
        <v>3</v>
      </c>
      <c r="I138" s="2">
        <f>WEEKDAY(Table1[[#This Row],[Date]])</f>
        <v>7</v>
      </c>
      <c r="J138">
        <f>Table1[[#This Row],[Credit]]-Table1[[#This Row],[Debit]]</f>
        <v>-5</v>
      </c>
    </row>
    <row r="139" spans="1:10">
      <c r="A139" s="1">
        <v>44646</v>
      </c>
      <c r="B139" t="s">
        <v>18</v>
      </c>
      <c r="C139">
        <v>209</v>
      </c>
      <c r="E139" t="s">
        <v>19</v>
      </c>
      <c r="F139" t="s">
        <v>20</v>
      </c>
      <c r="G139" t="s">
        <v>17</v>
      </c>
      <c r="H139">
        <f>MONTH(Table1[[#This Row],[Date]])</f>
        <v>3</v>
      </c>
      <c r="I139" s="2">
        <f>WEEKDAY(Table1[[#This Row],[Date]])</f>
        <v>7</v>
      </c>
      <c r="J139">
        <f>Table1[[#This Row],[Credit]]-Table1[[#This Row],[Debit]]</f>
        <v>-209</v>
      </c>
    </row>
    <row r="140" spans="1:10">
      <c r="A140" s="1">
        <v>44647</v>
      </c>
      <c r="B140" t="s">
        <v>64</v>
      </c>
      <c r="C140">
        <v>127</v>
      </c>
      <c r="E140" t="s">
        <v>31</v>
      </c>
      <c r="F140" t="s">
        <v>29</v>
      </c>
      <c r="G140" t="s">
        <v>17</v>
      </c>
      <c r="H140">
        <f>MONTH(Table1[[#This Row],[Date]])</f>
        <v>3</v>
      </c>
      <c r="I140" s="2">
        <f>WEEKDAY(Table1[[#This Row],[Date]])</f>
        <v>1</v>
      </c>
      <c r="J140">
        <f>Table1[[#This Row],[Credit]]-Table1[[#This Row],[Debit]]</f>
        <v>-127</v>
      </c>
    </row>
    <row r="141" spans="1:10">
      <c r="A141" s="1">
        <v>44647</v>
      </c>
      <c r="B141" t="s">
        <v>70</v>
      </c>
      <c r="C141">
        <v>177.2</v>
      </c>
      <c r="E141" t="s">
        <v>31</v>
      </c>
      <c r="F141" t="s">
        <v>29</v>
      </c>
      <c r="G141" t="s">
        <v>17</v>
      </c>
      <c r="H141">
        <f>MONTH(Table1[[#This Row],[Date]])</f>
        <v>3</v>
      </c>
      <c r="I141" s="2">
        <f>WEEKDAY(Table1[[#This Row],[Date]])</f>
        <v>1</v>
      </c>
      <c r="J141">
        <f>Table1[[#This Row],[Credit]]-Table1[[#This Row],[Debit]]</f>
        <v>-177.2</v>
      </c>
    </row>
    <row r="142" spans="1:10">
      <c r="A142" s="1">
        <v>44648</v>
      </c>
      <c r="B142" t="s">
        <v>30</v>
      </c>
      <c r="C142">
        <v>147.1</v>
      </c>
      <c r="E142" t="s">
        <v>31</v>
      </c>
      <c r="F142" t="s">
        <v>29</v>
      </c>
      <c r="G142" t="s">
        <v>17</v>
      </c>
      <c r="H142">
        <f>MONTH(Table1[[#This Row],[Date]])</f>
        <v>3</v>
      </c>
      <c r="I142" s="2">
        <f>WEEKDAY(Table1[[#This Row],[Date]])</f>
        <v>2</v>
      </c>
      <c r="J142">
        <f>Table1[[#This Row],[Credit]]-Table1[[#This Row],[Debit]]</f>
        <v>-147.1</v>
      </c>
    </row>
    <row r="143" spans="1:10">
      <c r="A143" s="1">
        <v>44648</v>
      </c>
      <c r="B143" t="s">
        <v>37</v>
      </c>
      <c r="C143">
        <v>25</v>
      </c>
      <c r="E143" t="s">
        <v>38</v>
      </c>
      <c r="F143" t="s">
        <v>39</v>
      </c>
      <c r="G143" t="s">
        <v>17</v>
      </c>
      <c r="H143">
        <f>MONTH(Table1[[#This Row],[Date]])</f>
        <v>3</v>
      </c>
      <c r="I143" s="2">
        <f>WEEKDAY(Table1[[#This Row],[Date]])</f>
        <v>2</v>
      </c>
      <c r="J143">
        <f>Table1[[#This Row],[Credit]]-Table1[[#This Row],[Debit]]</f>
        <v>-25</v>
      </c>
    </row>
    <row r="144" spans="1:10">
      <c r="A144" s="1">
        <v>44649</v>
      </c>
      <c r="B144" t="s">
        <v>71</v>
      </c>
      <c r="C144">
        <v>15</v>
      </c>
      <c r="E144" t="s">
        <v>33</v>
      </c>
      <c r="F144" t="s">
        <v>16</v>
      </c>
      <c r="G144" t="s">
        <v>17</v>
      </c>
      <c r="H144">
        <f>MONTH(Table1[[#This Row],[Date]])</f>
        <v>3</v>
      </c>
      <c r="I144" s="2">
        <f>WEEKDAY(Table1[[#This Row],[Date]])</f>
        <v>3</v>
      </c>
      <c r="J144">
        <f>Table1[[#This Row],[Credit]]-Table1[[#This Row],[Debit]]</f>
        <v>-15</v>
      </c>
    </row>
    <row r="145" spans="1:10">
      <c r="A145" s="1">
        <v>44650</v>
      </c>
      <c r="B145" t="s">
        <v>14</v>
      </c>
      <c r="C145">
        <v>5</v>
      </c>
      <c r="E145" t="s">
        <v>15</v>
      </c>
      <c r="F145" t="s">
        <v>16</v>
      </c>
      <c r="G145" t="s">
        <v>17</v>
      </c>
      <c r="H145">
        <f>MONTH(Table1[[#This Row],[Date]])</f>
        <v>3</v>
      </c>
      <c r="I145" s="2">
        <f>WEEKDAY(Table1[[#This Row],[Date]])</f>
        <v>4</v>
      </c>
      <c r="J145">
        <f>Table1[[#This Row],[Credit]]-Table1[[#This Row],[Debit]]</f>
        <v>-5</v>
      </c>
    </row>
    <row r="146" spans="1:10">
      <c r="A146" s="1">
        <v>44651</v>
      </c>
      <c r="B146" t="s">
        <v>14</v>
      </c>
      <c r="C146">
        <v>5</v>
      </c>
      <c r="E146" t="s">
        <v>15</v>
      </c>
      <c r="F146" t="s">
        <v>16</v>
      </c>
      <c r="G146" t="s">
        <v>17</v>
      </c>
      <c r="H146">
        <f>MONTH(Table1[[#This Row],[Date]])</f>
        <v>3</v>
      </c>
      <c r="I146" s="2">
        <f>WEEKDAY(Table1[[#This Row],[Date]])</f>
        <v>5</v>
      </c>
      <c r="J146">
        <f>Table1[[#This Row],[Credit]]-Table1[[#This Row],[Debit]]</f>
        <v>-5</v>
      </c>
    </row>
    <row r="147" spans="1:10">
      <c r="A147" s="1">
        <v>44652</v>
      </c>
      <c r="B147" t="s">
        <v>10</v>
      </c>
      <c r="D147">
        <v>5000</v>
      </c>
      <c r="E147" t="s">
        <v>11</v>
      </c>
      <c r="F147" t="s">
        <v>12</v>
      </c>
      <c r="G147" t="s">
        <v>13</v>
      </c>
      <c r="H147">
        <f>MONTH(Table1[[#This Row],[Date]])</f>
        <v>4</v>
      </c>
      <c r="I147" s="2">
        <f>WEEKDAY(Table1[[#This Row],[Date]])</f>
        <v>6</v>
      </c>
      <c r="J147">
        <f>Table1[[#This Row],[Credit]]-Table1[[#This Row],[Debit]]</f>
        <v>5000</v>
      </c>
    </row>
    <row r="148" spans="1:10">
      <c r="A148" s="1">
        <v>44652</v>
      </c>
      <c r="B148" t="s">
        <v>14</v>
      </c>
      <c r="C148">
        <v>5</v>
      </c>
      <c r="E148" t="s">
        <v>15</v>
      </c>
      <c r="F148" t="s">
        <v>16</v>
      </c>
      <c r="G148" t="s">
        <v>17</v>
      </c>
      <c r="H148">
        <f>MONTH(Table1[[#This Row],[Date]])</f>
        <v>4</v>
      </c>
      <c r="I148" s="2">
        <f>WEEKDAY(Table1[[#This Row],[Date]])</f>
        <v>6</v>
      </c>
      <c r="J148">
        <f>Table1[[#This Row],[Credit]]-Table1[[#This Row],[Debit]]</f>
        <v>-5</v>
      </c>
    </row>
    <row r="149" spans="1:10">
      <c r="A149" s="1">
        <v>44653</v>
      </c>
      <c r="B149" t="s">
        <v>18</v>
      </c>
      <c r="C149">
        <v>750</v>
      </c>
      <c r="E149" t="s">
        <v>19</v>
      </c>
      <c r="F149" t="s">
        <v>20</v>
      </c>
      <c r="G149" t="s">
        <v>17</v>
      </c>
      <c r="H149">
        <f>MONTH(Table1[[#This Row],[Date]])</f>
        <v>4</v>
      </c>
      <c r="I149" s="2">
        <f>WEEKDAY(Table1[[#This Row],[Date]])</f>
        <v>7</v>
      </c>
      <c r="J149">
        <f>Table1[[#This Row],[Credit]]-Table1[[#This Row],[Debit]]</f>
        <v>-750</v>
      </c>
    </row>
    <row r="150" spans="1:10">
      <c r="A150" s="1">
        <v>44653</v>
      </c>
      <c r="B150" t="s">
        <v>21</v>
      </c>
      <c r="C150">
        <v>150</v>
      </c>
      <c r="E150" t="s">
        <v>22</v>
      </c>
      <c r="F150" t="s">
        <v>23</v>
      </c>
      <c r="G150" t="s">
        <v>17</v>
      </c>
      <c r="H150">
        <f>MONTH(Table1[[#This Row],[Date]])</f>
        <v>4</v>
      </c>
      <c r="I150" s="2">
        <f>WEEKDAY(Table1[[#This Row],[Date]])</f>
        <v>7</v>
      </c>
      <c r="J150">
        <f>Table1[[#This Row],[Credit]]-Table1[[#This Row],[Debit]]</f>
        <v>-150</v>
      </c>
    </row>
    <row r="151" spans="1:10">
      <c r="A151" s="1">
        <v>44653</v>
      </c>
      <c r="B151" t="s">
        <v>14</v>
      </c>
      <c r="C151">
        <v>5</v>
      </c>
      <c r="E151" t="s">
        <v>15</v>
      </c>
      <c r="F151" t="s">
        <v>16</v>
      </c>
      <c r="G151" t="s">
        <v>17</v>
      </c>
      <c r="H151">
        <f>MONTH(Table1[[#This Row],[Date]])</f>
        <v>4</v>
      </c>
      <c r="I151" s="2">
        <f>WEEKDAY(Table1[[#This Row],[Date]])</f>
        <v>7</v>
      </c>
      <c r="J151">
        <f>Table1[[#This Row],[Credit]]-Table1[[#This Row],[Debit]]</f>
        <v>-5</v>
      </c>
    </row>
    <row r="152" spans="1:10">
      <c r="A152" s="1">
        <v>44654</v>
      </c>
      <c r="B152" t="s">
        <v>14</v>
      </c>
      <c r="C152">
        <v>5</v>
      </c>
      <c r="E152" t="s">
        <v>15</v>
      </c>
      <c r="F152" t="s">
        <v>16</v>
      </c>
      <c r="G152" t="s">
        <v>17</v>
      </c>
      <c r="H152">
        <f>MONTH(Table1[[#This Row],[Date]])</f>
        <v>4</v>
      </c>
      <c r="I152" s="2">
        <f>WEEKDAY(Table1[[#This Row],[Date]])</f>
        <v>1</v>
      </c>
      <c r="J152">
        <f>Table1[[#This Row],[Credit]]-Table1[[#This Row],[Debit]]</f>
        <v>-5</v>
      </c>
    </row>
    <row r="153" spans="1:10">
      <c r="A153" s="1">
        <v>44655</v>
      </c>
      <c r="B153" t="s">
        <v>14</v>
      </c>
      <c r="C153">
        <v>5</v>
      </c>
      <c r="E153" t="s">
        <v>15</v>
      </c>
      <c r="F153" t="s">
        <v>16</v>
      </c>
      <c r="G153" t="s">
        <v>17</v>
      </c>
      <c r="H153">
        <f>MONTH(Table1[[#This Row],[Date]])</f>
        <v>4</v>
      </c>
      <c r="I153" s="2">
        <f>WEEKDAY(Table1[[#This Row],[Date]])</f>
        <v>2</v>
      </c>
      <c r="J153">
        <f>Table1[[#This Row],[Credit]]-Table1[[#This Row],[Debit]]</f>
        <v>-5</v>
      </c>
    </row>
    <row r="154" spans="1:10">
      <c r="A154" s="1">
        <v>44656</v>
      </c>
      <c r="B154" t="s">
        <v>14</v>
      </c>
      <c r="C154">
        <v>5</v>
      </c>
      <c r="E154" t="s">
        <v>15</v>
      </c>
      <c r="F154" t="s">
        <v>16</v>
      </c>
      <c r="G154" t="s">
        <v>17</v>
      </c>
      <c r="H154">
        <f>MONTH(Table1[[#This Row],[Date]])</f>
        <v>4</v>
      </c>
      <c r="I154" s="2">
        <f>WEEKDAY(Table1[[#This Row],[Date]])</f>
        <v>3</v>
      </c>
      <c r="J154">
        <f>Table1[[#This Row],[Credit]]-Table1[[#This Row],[Debit]]</f>
        <v>-5</v>
      </c>
    </row>
    <row r="155" spans="1:10">
      <c r="A155" s="1">
        <v>44656</v>
      </c>
      <c r="B155" t="s">
        <v>18</v>
      </c>
      <c r="C155">
        <v>158.19999999999999</v>
      </c>
      <c r="E155" t="s">
        <v>19</v>
      </c>
      <c r="F155" t="s">
        <v>20</v>
      </c>
      <c r="G155" t="s">
        <v>17</v>
      </c>
      <c r="H155">
        <f>MONTH(Table1[[#This Row],[Date]])</f>
        <v>4</v>
      </c>
      <c r="I155" s="2">
        <f>WEEKDAY(Table1[[#This Row],[Date]])</f>
        <v>3</v>
      </c>
      <c r="J155">
        <f>Table1[[#This Row],[Credit]]-Table1[[#This Row],[Debit]]</f>
        <v>-158.19999999999999</v>
      </c>
    </row>
    <row r="156" spans="1:10">
      <c r="A156" s="1">
        <v>44659</v>
      </c>
      <c r="B156" t="s">
        <v>24</v>
      </c>
      <c r="C156">
        <v>53.2</v>
      </c>
      <c r="E156" t="s">
        <v>25</v>
      </c>
      <c r="F156" t="s">
        <v>20</v>
      </c>
      <c r="G156" t="s">
        <v>17</v>
      </c>
      <c r="H156">
        <f>MONTH(Table1[[#This Row],[Date]])</f>
        <v>4</v>
      </c>
      <c r="I156" s="2">
        <f>WEEKDAY(Table1[[#This Row],[Date]])</f>
        <v>6</v>
      </c>
      <c r="J156">
        <f>Table1[[#This Row],[Credit]]-Table1[[#This Row],[Debit]]</f>
        <v>-53.2</v>
      </c>
    </row>
    <row r="157" spans="1:10">
      <c r="A157" s="1">
        <v>44659</v>
      </c>
      <c r="B157" t="s">
        <v>14</v>
      </c>
      <c r="C157">
        <v>5</v>
      </c>
      <c r="E157" t="s">
        <v>15</v>
      </c>
      <c r="F157" t="s">
        <v>16</v>
      </c>
      <c r="G157" t="s">
        <v>17</v>
      </c>
      <c r="H157">
        <f>MONTH(Table1[[#This Row],[Date]])</f>
        <v>4</v>
      </c>
      <c r="I157" s="2">
        <f>WEEKDAY(Table1[[#This Row],[Date]])</f>
        <v>6</v>
      </c>
      <c r="J157">
        <f>Table1[[#This Row],[Credit]]-Table1[[#This Row],[Debit]]</f>
        <v>-5</v>
      </c>
    </row>
    <row r="158" spans="1:10">
      <c r="A158" s="1">
        <v>44660</v>
      </c>
      <c r="B158" t="s">
        <v>14</v>
      </c>
      <c r="C158">
        <v>5</v>
      </c>
      <c r="E158" t="s">
        <v>15</v>
      </c>
      <c r="F158" t="s">
        <v>16</v>
      </c>
      <c r="G158" t="s">
        <v>17</v>
      </c>
      <c r="H158">
        <f>MONTH(Table1[[#This Row],[Date]])</f>
        <v>4</v>
      </c>
      <c r="I158" s="2">
        <f>WEEKDAY(Table1[[#This Row],[Date]])</f>
        <v>7</v>
      </c>
      <c r="J158">
        <f>Table1[[#This Row],[Credit]]-Table1[[#This Row],[Debit]]</f>
        <v>-5</v>
      </c>
    </row>
    <row r="159" spans="1:10">
      <c r="A159" s="1">
        <v>44661</v>
      </c>
      <c r="B159" t="s">
        <v>26</v>
      </c>
      <c r="C159">
        <v>79.900000000000006</v>
      </c>
      <c r="E159" t="s">
        <v>52</v>
      </c>
      <c r="F159" t="s">
        <v>39</v>
      </c>
      <c r="G159" t="s">
        <v>17</v>
      </c>
      <c r="H159">
        <f>MONTH(Table1[[#This Row],[Date]])</f>
        <v>4</v>
      </c>
      <c r="I159" s="2">
        <f>WEEKDAY(Table1[[#This Row],[Date]])</f>
        <v>1</v>
      </c>
      <c r="J159">
        <f>Table1[[#This Row],[Credit]]-Table1[[#This Row],[Debit]]</f>
        <v>-79.900000000000006</v>
      </c>
    </row>
    <row r="160" spans="1:10">
      <c r="A160" s="1">
        <v>44661</v>
      </c>
      <c r="B160" t="s">
        <v>14</v>
      </c>
      <c r="C160">
        <v>5</v>
      </c>
      <c r="E160" t="s">
        <v>15</v>
      </c>
      <c r="F160" t="s">
        <v>16</v>
      </c>
      <c r="G160" t="s">
        <v>17</v>
      </c>
      <c r="H160">
        <f>MONTH(Table1[[#This Row],[Date]])</f>
        <v>4</v>
      </c>
      <c r="I160" s="2">
        <f>WEEKDAY(Table1[[#This Row],[Date]])</f>
        <v>1</v>
      </c>
      <c r="J160">
        <f>Table1[[#This Row],[Credit]]-Table1[[#This Row],[Debit]]</f>
        <v>-5</v>
      </c>
    </row>
    <row r="161" spans="1:10">
      <c r="A161" s="1">
        <v>44662</v>
      </c>
      <c r="B161" t="s">
        <v>14</v>
      </c>
      <c r="C161">
        <v>5</v>
      </c>
      <c r="E161" t="s">
        <v>15</v>
      </c>
      <c r="F161" t="s">
        <v>16</v>
      </c>
      <c r="G161" t="s">
        <v>17</v>
      </c>
      <c r="H161">
        <f>MONTH(Table1[[#This Row],[Date]])</f>
        <v>4</v>
      </c>
      <c r="I161" s="2">
        <f>WEEKDAY(Table1[[#This Row],[Date]])</f>
        <v>2</v>
      </c>
      <c r="J161">
        <f>Table1[[#This Row],[Credit]]-Table1[[#This Row],[Debit]]</f>
        <v>-5</v>
      </c>
    </row>
    <row r="162" spans="1:10">
      <c r="A162" s="1">
        <v>44663</v>
      </c>
      <c r="B162" t="s">
        <v>18</v>
      </c>
      <c r="C162">
        <v>98</v>
      </c>
      <c r="E162" t="s">
        <v>19</v>
      </c>
      <c r="F162" t="s">
        <v>20</v>
      </c>
      <c r="G162" t="s">
        <v>17</v>
      </c>
      <c r="H162">
        <f>MONTH(Table1[[#This Row],[Date]])</f>
        <v>4</v>
      </c>
      <c r="I162" s="2">
        <f>WEEKDAY(Table1[[#This Row],[Date]])</f>
        <v>3</v>
      </c>
      <c r="J162">
        <f>Table1[[#This Row],[Credit]]-Table1[[#This Row],[Debit]]</f>
        <v>-98</v>
      </c>
    </row>
    <row r="163" spans="1:10">
      <c r="A163" s="1">
        <v>44663</v>
      </c>
      <c r="B163" t="s">
        <v>14</v>
      </c>
      <c r="C163">
        <v>5</v>
      </c>
      <c r="E163" t="s">
        <v>15</v>
      </c>
      <c r="F163" t="s">
        <v>16</v>
      </c>
      <c r="G163" t="s">
        <v>17</v>
      </c>
      <c r="H163">
        <f>MONTH(Table1[[#This Row],[Date]])</f>
        <v>4</v>
      </c>
      <c r="I163" s="2">
        <f>WEEKDAY(Table1[[#This Row],[Date]])</f>
        <v>3</v>
      </c>
      <c r="J163">
        <f>Table1[[#This Row],[Credit]]-Table1[[#This Row],[Debit]]</f>
        <v>-5</v>
      </c>
    </row>
    <row r="164" spans="1:10">
      <c r="A164" s="1">
        <v>44664</v>
      </c>
      <c r="B164" t="s">
        <v>14</v>
      </c>
      <c r="C164">
        <v>5</v>
      </c>
      <c r="E164" t="s">
        <v>15</v>
      </c>
      <c r="F164" t="s">
        <v>16</v>
      </c>
      <c r="G164" t="s">
        <v>17</v>
      </c>
      <c r="H164">
        <f>MONTH(Table1[[#This Row],[Date]])</f>
        <v>4</v>
      </c>
      <c r="I164" s="2">
        <f>WEEKDAY(Table1[[#This Row],[Date]])</f>
        <v>4</v>
      </c>
      <c r="J164">
        <f>Table1[[#This Row],[Credit]]-Table1[[#This Row],[Debit]]</f>
        <v>-5</v>
      </c>
    </row>
    <row r="165" spans="1:10">
      <c r="A165" s="1">
        <v>44664</v>
      </c>
      <c r="B165" t="s">
        <v>27</v>
      </c>
      <c r="C165">
        <v>42.8</v>
      </c>
      <c r="E165" t="s">
        <v>28</v>
      </c>
      <c r="F165" t="s">
        <v>29</v>
      </c>
      <c r="G165" t="s">
        <v>17</v>
      </c>
      <c r="H165">
        <f>MONTH(Table1[[#This Row],[Date]])</f>
        <v>4</v>
      </c>
      <c r="I165" s="2">
        <f>WEEKDAY(Table1[[#This Row],[Date]])</f>
        <v>4</v>
      </c>
      <c r="J165">
        <f>Table1[[#This Row],[Credit]]-Table1[[#This Row],[Debit]]</f>
        <v>-42.8</v>
      </c>
    </row>
    <row r="166" spans="1:10">
      <c r="A166" s="1">
        <v>44664</v>
      </c>
      <c r="B166" t="s">
        <v>64</v>
      </c>
      <c r="C166">
        <v>100.9</v>
      </c>
      <c r="E166" t="s">
        <v>31</v>
      </c>
      <c r="F166" t="s">
        <v>29</v>
      </c>
      <c r="G166" t="s">
        <v>17</v>
      </c>
      <c r="H166">
        <f>MONTH(Table1[[#This Row],[Date]])</f>
        <v>4</v>
      </c>
      <c r="I166" s="2">
        <f>WEEKDAY(Table1[[#This Row],[Date]])</f>
        <v>4</v>
      </c>
      <c r="J166">
        <f>Table1[[#This Row],[Credit]]-Table1[[#This Row],[Debit]]</f>
        <v>-100.9</v>
      </c>
    </row>
    <row r="167" spans="1:10">
      <c r="A167" s="1">
        <v>44664</v>
      </c>
      <c r="B167" t="s">
        <v>72</v>
      </c>
      <c r="C167">
        <v>54.9</v>
      </c>
      <c r="E167" t="s">
        <v>33</v>
      </c>
      <c r="F167" t="s">
        <v>16</v>
      </c>
      <c r="G167" t="s">
        <v>17</v>
      </c>
      <c r="H167">
        <f>MONTH(Table1[[#This Row],[Date]])</f>
        <v>4</v>
      </c>
      <c r="I167" s="2">
        <f>WEEKDAY(Table1[[#This Row],[Date]])</f>
        <v>4</v>
      </c>
      <c r="J167">
        <f>Table1[[#This Row],[Credit]]-Table1[[#This Row],[Debit]]</f>
        <v>-54.9</v>
      </c>
    </row>
    <row r="168" spans="1:10">
      <c r="A168" s="1">
        <v>44665</v>
      </c>
      <c r="B168" t="s">
        <v>37</v>
      </c>
      <c r="C168">
        <v>31</v>
      </c>
      <c r="E168" t="s">
        <v>38</v>
      </c>
      <c r="F168" t="s">
        <v>39</v>
      </c>
      <c r="G168" t="s">
        <v>17</v>
      </c>
      <c r="H168">
        <f>MONTH(Table1[[#This Row],[Date]])</f>
        <v>4</v>
      </c>
      <c r="I168" s="2">
        <f>WEEKDAY(Table1[[#This Row],[Date]])</f>
        <v>5</v>
      </c>
      <c r="J168">
        <f>Table1[[#This Row],[Credit]]-Table1[[#This Row],[Debit]]</f>
        <v>-31</v>
      </c>
    </row>
    <row r="169" spans="1:10">
      <c r="A169" s="1">
        <v>44666</v>
      </c>
      <c r="B169" t="s">
        <v>13</v>
      </c>
      <c r="D169">
        <v>2340</v>
      </c>
      <c r="E169" t="s">
        <v>40</v>
      </c>
      <c r="F169" t="s">
        <v>41</v>
      </c>
      <c r="G169" t="s">
        <v>13</v>
      </c>
      <c r="H169">
        <f>MONTH(Table1[[#This Row],[Date]])</f>
        <v>4</v>
      </c>
      <c r="I169" s="2">
        <f>WEEKDAY(Table1[[#This Row],[Date]])</f>
        <v>6</v>
      </c>
      <c r="J169">
        <f>Table1[[#This Row],[Credit]]-Table1[[#This Row],[Debit]]</f>
        <v>2340</v>
      </c>
    </row>
    <row r="170" spans="1:10">
      <c r="A170" s="1">
        <v>44666</v>
      </c>
      <c r="B170" t="s">
        <v>14</v>
      </c>
      <c r="C170">
        <v>5</v>
      </c>
      <c r="E170" t="s">
        <v>15</v>
      </c>
      <c r="F170" t="s">
        <v>16</v>
      </c>
      <c r="G170" t="s">
        <v>17</v>
      </c>
      <c r="H170">
        <f>MONTH(Table1[[#This Row],[Date]])</f>
        <v>4</v>
      </c>
      <c r="I170" s="2">
        <f>WEEKDAY(Table1[[#This Row],[Date]])</f>
        <v>6</v>
      </c>
      <c r="J170">
        <f>Table1[[#This Row],[Credit]]-Table1[[#This Row],[Debit]]</f>
        <v>-5</v>
      </c>
    </row>
    <row r="171" spans="1:10">
      <c r="A171" s="1">
        <v>44667</v>
      </c>
      <c r="B171" t="s">
        <v>14</v>
      </c>
      <c r="C171">
        <v>5</v>
      </c>
      <c r="E171" t="s">
        <v>15</v>
      </c>
      <c r="F171" t="s">
        <v>16</v>
      </c>
      <c r="G171" t="s">
        <v>17</v>
      </c>
      <c r="H171">
        <f>MONTH(Table1[[#This Row],[Date]])</f>
        <v>4</v>
      </c>
      <c r="I171" s="2">
        <f>WEEKDAY(Table1[[#This Row],[Date]])</f>
        <v>7</v>
      </c>
      <c r="J171">
        <f>Table1[[#This Row],[Credit]]-Table1[[#This Row],[Debit]]</f>
        <v>-5</v>
      </c>
    </row>
    <row r="172" spans="1:10">
      <c r="A172" s="1">
        <v>44667</v>
      </c>
      <c r="B172" t="s">
        <v>43</v>
      </c>
      <c r="C172">
        <v>40</v>
      </c>
      <c r="E172" t="s">
        <v>43</v>
      </c>
      <c r="F172" t="s">
        <v>20</v>
      </c>
      <c r="G172" t="s">
        <v>17</v>
      </c>
      <c r="H172">
        <f>MONTH(Table1[[#This Row],[Date]])</f>
        <v>4</v>
      </c>
      <c r="I172" s="2">
        <f>WEEKDAY(Table1[[#This Row],[Date]])</f>
        <v>7</v>
      </c>
      <c r="J172">
        <f>Table1[[#This Row],[Credit]]-Table1[[#This Row],[Debit]]</f>
        <v>-40</v>
      </c>
    </row>
    <row r="173" spans="1:10">
      <c r="A173" s="1">
        <v>44668</v>
      </c>
      <c r="B173" t="s">
        <v>44</v>
      </c>
      <c r="C173">
        <v>47.9</v>
      </c>
      <c r="E173" t="s">
        <v>45</v>
      </c>
      <c r="F173" t="s">
        <v>29</v>
      </c>
      <c r="G173" t="s">
        <v>17</v>
      </c>
      <c r="H173">
        <f>MONTH(Table1[[#This Row],[Date]])</f>
        <v>4</v>
      </c>
      <c r="I173" s="2">
        <f>WEEKDAY(Table1[[#This Row],[Date]])</f>
        <v>1</v>
      </c>
      <c r="J173">
        <f>Table1[[#This Row],[Credit]]-Table1[[#This Row],[Debit]]</f>
        <v>-47.9</v>
      </c>
    </row>
    <row r="174" spans="1:10">
      <c r="A174" s="1">
        <v>44668</v>
      </c>
      <c r="B174" t="s">
        <v>46</v>
      </c>
      <c r="C174">
        <v>35</v>
      </c>
      <c r="E174" t="s">
        <v>28</v>
      </c>
      <c r="F174" t="s">
        <v>29</v>
      </c>
      <c r="G174" t="s">
        <v>17</v>
      </c>
      <c r="H174">
        <f>MONTH(Table1[[#This Row],[Date]])</f>
        <v>4</v>
      </c>
      <c r="I174" s="2">
        <f>WEEKDAY(Table1[[#This Row],[Date]])</f>
        <v>1</v>
      </c>
      <c r="J174">
        <f>Table1[[#This Row],[Credit]]-Table1[[#This Row],[Debit]]</f>
        <v>-35</v>
      </c>
    </row>
    <row r="175" spans="1:10">
      <c r="A175" s="1">
        <v>44668</v>
      </c>
      <c r="B175" t="s">
        <v>14</v>
      </c>
      <c r="C175">
        <v>5</v>
      </c>
      <c r="E175" t="s">
        <v>15</v>
      </c>
      <c r="F175" t="s">
        <v>16</v>
      </c>
      <c r="G175" t="s">
        <v>17</v>
      </c>
      <c r="H175">
        <f>MONTH(Table1[[#This Row],[Date]])</f>
        <v>4</v>
      </c>
      <c r="I175" s="2">
        <f>WEEKDAY(Table1[[#This Row],[Date]])</f>
        <v>1</v>
      </c>
      <c r="J175">
        <f>Table1[[#This Row],[Credit]]-Table1[[#This Row],[Debit]]</f>
        <v>-5</v>
      </c>
    </row>
    <row r="176" spans="1:10">
      <c r="A176" s="1">
        <v>44669</v>
      </c>
      <c r="B176" t="s">
        <v>14</v>
      </c>
      <c r="C176">
        <v>5</v>
      </c>
      <c r="E176" t="s">
        <v>15</v>
      </c>
      <c r="F176" t="s">
        <v>16</v>
      </c>
      <c r="G176" t="s">
        <v>17</v>
      </c>
      <c r="H176">
        <f>MONTH(Table1[[#This Row],[Date]])</f>
        <v>4</v>
      </c>
      <c r="I176" s="2">
        <f>WEEKDAY(Table1[[#This Row],[Date]])</f>
        <v>2</v>
      </c>
      <c r="J176">
        <f>Table1[[#This Row],[Credit]]-Table1[[#This Row],[Debit]]</f>
        <v>-5</v>
      </c>
    </row>
    <row r="177" spans="1:10">
      <c r="A177" s="1">
        <v>44670</v>
      </c>
      <c r="B177" t="s">
        <v>14</v>
      </c>
      <c r="C177">
        <v>5</v>
      </c>
      <c r="E177" t="s">
        <v>15</v>
      </c>
      <c r="F177" t="s">
        <v>16</v>
      </c>
      <c r="G177" t="s">
        <v>17</v>
      </c>
      <c r="H177">
        <f>MONTH(Table1[[#This Row],[Date]])</f>
        <v>4</v>
      </c>
      <c r="I177" s="2">
        <f>WEEKDAY(Table1[[#This Row],[Date]])</f>
        <v>3</v>
      </c>
      <c r="J177">
        <f>Table1[[#This Row],[Credit]]-Table1[[#This Row],[Debit]]</f>
        <v>-5</v>
      </c>
    </row>
    <row r="178" spans="1:10">
      <c r="A178" s="1">
        <v>44670</v>
      </c>
      <c r="B178" t="s">
        <v>18</v>
      </c>
      <c r="C178">
        <v>173</v>
      </c>
      <c r="E178" t="s">
        <v>19</v>
      </c>
      <c r="F178" t="s">
        <v>20</v>
      </c>
      <c r="G178" t="s">
        <v>17</v>
      </c>
      <c r="H178">
        <f>MONTH(Table1[[#This Row],[Date]])</f>
        <v>4</v>
      </c>
      <c r="I178" s="2">
        <f>WEEKDAY(Table1[[#This Row],[Date]])</f>
        <v>3</v>
      </c>
      <c r="J178">
        <f>Table1[[#This Row],[Credit]]-Table1[[#This Row],[Debit]]</f>
        <v>-173</v>
      </c>
    </row>
    <row r="179" spans="1:10">
      <c r="A179" s="1">
        <v>44671</v>
      </c>
      <c r="B179" t="s">
        <v>73</v>
      </c>
      <c r="C179">
        <v>40.1</v>
      </c>
      <c r="E179" t="s">
        <v>33</v>
      </c>
      <c r="F179" t="s">
        <v>16</v>
      </c>
      <c r="G179" t="s">
        <v>17</v>
      </c>
      <c r="H179">
        <f>MONTH(Table1[[#This Row],[Date]])</f>
        <v>4</v>
      </c>
      <c r="I179" s="2">
        <f>WEEKDAY(Table1[[#This Row],[Date]])</f>
        <v>4</v>
      </c>
      <c r="J179">
        <f>Table1[[#This Row],[Credit]]-Table1[[#This Row],[Debit]]</f>
        <v>-40.1</v>
      </c>
    </row>
    <row r="180" spans="1:10">
      <c r="A180" s="1">
        <v>44672</v>
      </c>
      <c r="B180" t="s">
        <v>74</v>
      </c>
      <c r="C180">
        <v>15.1</v>
      </c>
      <c r="E180" t="s">
        <v>33</v>
      </c>
      <c r="F180" t="s">
        <v>16</v>
      </c>
      <c r="G180" t="s">
        <v>17</v>
      </c>
      <c r="H180">
        <f>MONTH(Table1[[#This Row],[Date]])</f>
        <v>4</v>
      </c>
      <c r="I180" s="2">
        <f>WEEKDAY(Table1[[#This Row],[Date]])</f>
        <v>5</v>
      </c>
      <c r="J180">
        <f>Table1[[#This Row],[Credit]]-Table1[[#This Row],[Debit]]</f>
        <v>-15.1</v>
      </c>
    </row>
    <row r="181" spans="1:10">
      <c r="A181" s="1">
        <v>44673</v>
      </c>
      <c r="B181" t="s">
        <v>49</v>
      </c>
      <c r="C181">
        <v>55</v>
      </c>
      <c r="E181" t="s">
        <v>50</v>
      </c>
      <c r="F181" t="s">
        <v>51</v>
      </c>
      <c r="G181" t="s">
        <v>17</v>
      </c>
      <c r="H181">
        <f>MONTH(Table1[[#This Row],[Date]])</f>
        <v>4</v>
      </c>
      <c r="I181" s="2">
        <f>WEEKDAY(Table1[[#This Row],[Date]])</f>
        <v>6</v>
      </c>
      <c r="J181">
        <f>Table1[[#This Row],[Credit]]-Table1[[#This Row],[Debit]]</f>
        <v>-55</v>
      </c>
    </row>
    <row r="182" spans="1:10">
      <c r="A182" s="1">
        <v>44673</v>
      </c>
      <c r="B182" t="s">
        <v>67</v>
      </c>
      <c r="C182">
        <v>10</v>
      </c>
      <c r="E182" t="s">
        <v>35</v>
      </c>
      <c r="F182" t="s">
        <v>36</v>
      </c>
      <c r="G182" t="s">
        <v>17</v>
      </c>
      <c r="H182" s="3">
        <f>MONTH(Table1[[#This Row],[Date]])</f>
        <v>4</v>
      </c>
      <c r="I182" s="2">
        <f>WEEKDAY(Table1[[#This Row],[Date]])</f>
        <v>6</v>
      </c>
      <c r="J182" s="3">
        <f>Table1[[#This Row],[Credit]]-Table1[[#This Row],[Debit]]</f>
        <v>-10</v>
      </c>
    </row>
    <row r="183" spans="1:10">
      <c r="A183" s="1">
        <v>44673</v>
      </c>
      <c r="B183" t="s">
        <v>26</v>
      </c>
      <c r="C183">
        <v>66</v>
      </c>
      <c r="E183" t="s">
        <v>52</v>
      </c>
      <c r="F183" t="s">
        <v>39</v>
      </c>
      <c r="G183" t="s">
        <v>17</v>
      </c>
      <c r="H183">
        <f>MONTH(Table1[[#This Row],[Date]])</f>
        <v>4</v>
      </c>
      <c r="I183" s="2">
        <f>WEEKDAY(Table1[[#This Row],[Date]])</f>
        <v>6</v>
      </c>
      <c r="J183">
        <f>Table1[[#This Row],[Credit]]-Table1[[#This Row],[Debit]]</f>
        <v>-66</v>
      </c>
    </row>
    <row r="184" spans="1:10">
      <c r="A184" s="1">
        <v>44673</v>
      </c>
      <c r="B184" t="s">
        <v>14</v>
      </c>
      <c r="C184">
        <v>5</v>
      </c>
      <c r="E184" t="s">
        <v>15</v>
      </c>
      <c r="F184" t="s">
        <v>16</v>
      </c>
      <c r="G184" t="s">
        <v>17</v>
      </c>
      <c r="H184">
        <f>MONTH(Table1[[#This Row],[Date]])</f>
        <v>4</v>
      </c>
      <c r="I184" s="2">
        <f>WEEKDAY(Table1[[#This Row],[Date]])</f>
        <v>6</v>
      </c>
      <c r="J184">
        <f>Table1[[#This Row],[Credit]]-Table1[[#This Row],[Debit]]</f>
        <v>-5</v>
      </c>
    </row>
    <row r="185" spans="1:10">
      <c r="A185" s="1">
        <v>44674</v>
      </c>
      <c r="B185" t="s">
        <v>14</v>
      </c>
      <c r="C185">
        <v>5</v>
      </c>
      <c r="E185" t="s">
        <v>15</v>
      </c>
      <c r="F185" t="s">
        <v>16</v>
      </c>
      <c r="G185" t="s">
        <v>17</v>
      </c>
      <c r="H185">
        <f>MONTH(Table1[[#This Row],[Date]])</f>
        <v>4</v>
      </c>
      <c r="I185" s="2">
        <f>WEEKDAY(Table1[[#This Row],[Date]])</f>
        <v>7</v>
      </c>
      <c r="J185">
        <f>Table1[[#This Row],[Credit]]-Table1[[#This Row],[Debit]]</f>
        <v>-5</v>
      </c>
    </row>
    <row r="186" spans="1:10">
      <c r="A186" s="1">
        <v>44675</v>
      </c>
      <c r="B186" t="s">
        <v>14</v>
      </c>
      <c r="C186">
        <v>5</v>
      </c>
      <c r="E186" t="s">
        <v>15</v>
      </c>
      <c r="F186" t="s">
        <v>16</v>
      </c>
      <c r="G186" t="s">
        <v>17</v>
      </c>
      <c r="H186">
        <f>MONTH(Table1[[#This Row],[Date]])</f>
        <v>4</v>
      </c>
      <c r="I186" s="2">
        <f>WEEKDAY(Table1[[#This Row],[Date]])</f>
        <v>1</v>
      </c>
      <c r="J186">
        <f>Table1[[#This Row],[Credit]]-Table1[[#This Row],[Debit]]</f>
        <v>-5</v>
      </c>
    </row>
    <row r="187" spans="1:10">
      <c r="A187" s="1">
        <v>44676</v>
      </c>
      <c r="B187" t="s">
        <v>14</v>
      </c>
      <c r="C187">
        <v>5</v>
      </c>
      <c r="E187" t="s">
        <v>15</v>
      </c>
      <c r="F187" t="s">
        <v>16</v>
      </c>
      <c r="G187" t="s">
        <v>17</v>
      </c>
      <c r="H187">
        <f>MONTH(Table1[[#This Row],[Date]])</f>
        <v>4</v>
      </c>
      <c r="I187" s="2">
        <f>WEEKDAY(Table1[[#This Row],[Date]])</f>
        <v>2</v>
      </c>
      <c r="J187">
        <f>Table1[[#This Row],[Credit]]-Table1[[#This Row],[Debit]]</f>
        <v>-5</v>
      </c>
    </row>
    <row r="188" spans="1:10">
      <c r="A188" s="1">
        <v>44677</v>
      </c>
      <c r="B188" t="s">
        <v>14</v>
      </c>
      <c r="C188">
        <v>5</v>
      </c>
      <c r="E188" t="s">
        <v>15</v>
      </c>
      <c r="F188" t="s">
        <v>16</v>
      </c>
      <c r="G188" t="s">
        <v>17</v>
      </c>
      <c r="H188">
        <f>MONTH(Table1[[#This Row],[Date]])</f>
        <v>4</v>
      </c>
      <c r="I188" s="2">
        <f>WEEKDAY(Table1[[#This Row],[Date]])</f>
        <v>3</v>
      </c>
      <c r="J188">
        <f>Table1[[#This Row],[Credit]]-Table1[[#This Row],[Debit]]</f>
        <v>-5</v>
      </c>
    </row>
    <row r="189" spans="1:10">
      <c r="A189" s="1">
        <v>44677</v>
      </c>
      <c r="B189" t="s">
        <v>18</v>
      </c>
      <c r="C189">
        <v>164.9</v>
      </c>
      <c r="E189" t="s">
        <v>19</v>
      </c>
      <c r="F189" t="s">
        <v>20</v>
      </c>
      <c r="G189" t="s">
        <v>17</v>
      </c>
      <c r="H189">
        <f>MONTH(Table1[[#This Row],[Date]])</f>
        <v>4</v>
      </c>
      <c r="I189" s="2">
        <f>WEEKDAY(Table1[[#This Row],[Date]])</f>
        <v>3</v>
      </c>
      <c r="J189">
        <f>Table1[[#This Row],[Credit]]-Table1[[#This Row],[Debit]]</f>
        <v>-164.9</v>
      </c>
    </row>
    <row r="190" spans="1:10">
      <c r="A190" s="1">
        <v>44678</v>
      </c>
      <c r="B190" t="s">
        <v>64</v>
      </c>
      <c r="C190">
        <v>127.9</v>
      </c>
      <c r="E190" t="s">
        <v>31</v>
      </c>
      <c r="F190" t="s">
        <v>29</v>
      </c>
      <c r="G190" t="s">
        <v>17</v>
      </c>
      <c r="H190">
        <f>MONTH(Table1[[#This Row],[Date]])</f>
        <v>4</v>
      </c>
      <c r="I190" s="2">
        <f>WEEKDAY(Table1[[#This Row],[Date]])</f>
        <v>4</v>
      </c>
      <c r="J190">
        <f>Table1[[#This Row],[Credit]]-Table1[[#This Row],[Debit]]</f>
        <v>-127.9</v>
      </c>
    </row>
    <row r="191" spans="1:10">
      <c r="A191" s="1">
        <v>44678</v>
      </c>
      <c r="B191" t="s">
        <v>75</v>
      </c>
      <c r="C191">
        <v>300</v>
      </c>
      <c r="E191" t="s">
        <v>28</v>
      </c>
      <c r="F191" t="s">
        <v>29</v>
      </c>
      <c r="G191" t="s">
        <v>17</v>
      </c>
      <c r="H191">
        <f>MONTH(Table1[[#This Row],[Date]])</f>
        <v>4</v>
      </c>
      <c r="I191" s="2">
        <f>WEEKDAY(Table1[[#This Row],[Date]])</f>
        <v>4</v>
      </c>
      <c r="J191">
        <f>Table1[[#This Row],[Credit]]-Table1[[#This Row],[Debit]]</f>
        <v>-300</v>
      </c>
    </row>
    <row r="192" spans="1:10">
      <c r="A192" s="1">
        <v>44679</v>
      </c>
      <c r="B192" t="s">
        <v>76</v>
      </c>
      <c r="C192">
        <v>148.1</v>
      </c>
      <c r="E192" t="s">
        <v>31</v>
      </c>
      <c r="F192" t="s">
        <v>29</v>
      </c>
      <c r="G192" t="s">
        <v>17</v>
      </c>
      <c r="H192">
        <f>MONTH(Table1[[#This Row],[Date]])</f>
        <v>4</v>
      </c>
      <c r="I192" s="2">
        <f>WEEKDAY(Table1[[#This Row],[Date]])</f>
        <v>5</v>
      </c>
      <c r="J192">
        <f>Table1[[#This Row],[Credit]]-Table1[[#This Row],[Debit]]</f>
        <v>-148.1</v>
      </c>
    </row>
    <row r="193" spans="1:10">
      <c r="A193" s="1">
        <v>44679</v>
      </c>
      <c r="B193" t="s">
        <v>37</v>
      </c>
      <c r="C193">
        <v>26.1</v>
      </c>
      <c r="E193" t="s">
        <v>38</v>
      </c>
      <c r="F193" t="s">
        <v>39</v>
      </c>
      <c r="G193" t="s">
        <v>17</v>
      </c>
      <c r="H193">
        <f>MONTH(Table1[[#This Row],[Date]])</f>
        <v>4</v>
      </c>
      <c r="I193" s="2">
        <f>WEEKDAY(Table1[[#This Row],[Date]])</f>
        <v>5</v>
      </c>
      <c r="J193">
        <f>Table1[[#This Row],[Credit]]-Table1[[#This Row],[Debit]]</f>
        <v>-26.1</v>
      </c>
    </row>
    <row r="194" spans="1:10">
      <c r="A194" s="1">
        <v>44680</v>
      </c>
      <c r="B194" t="s">
        <v>77</v>
      </c>
      <c r="C194">
        <v>15</v>
      </c>
      <c r="E194" t="s">
        <v>33</v>
      </c>
      <c r="F194" t="s">
        <v>16</v>
      </c>
      <c r="G194" t="s">
        <v>17</v>
      </c>
      <c r="H194">
        <f>MONTH(Table1[[#This Row],[Date]])</f>
        <v>4</v>
      </c>
      <c r="I194" s="2">
        <f>WEEKDAY(Table1[[#This Row],[Date]])</f>
        <v>6</v>
      </c>
      <c r="J194">
        <f>Table1[[#This Row],[Credit]]-Table1[[#This Row],[Debit]]</f>
        <v>-15</v>
      </c>
    </row>
    <row r="195" spans="1:10">
      <c r="A195" s="1">
        <v>44680</v>
      </c>
      <c r="B195" t="s">
        <v>14</v>
      </c>
      <c r="C195">
        <v>5</v>
      </c>
      <c r="E195" t="s">
        <v>15</v>
      </c>
      <c r="F195" t="s">
        <v>16</v>
      </c>
      <c r="G195" t="s">
        <v>17</v>
      </c>
      <c r="H195">
        <f>MONTH(Table1[[#This Row],[Date]])</f>
        <v>4</v>
      </c>
      <c r="I195" s="2">
        <f>WEEKDAY(Table1[[#This Row],[Date]])</f>
        <v>6</v>
      </c>
      <c r="J195">
        <f>Table1[[#This Row],[Credit]]-Table1[[#This Row],[Debit]]</f>
        <v>-5</v>
      </c>
    </row>
    <row r="196" spans="1:10">
      <c r="A196" s="1">
        <v>44681</v>
      </c>
      <c r="B196" t="s">
        <v>14</v>
      </c>
      <c r="C196">
        <v>5</v>
      </c>
      <c r="E196" t="s">
        <v>15</v>
      </c>
      <c r="F196" t="s">
        <v>16</v>
      </c>
      <c r="G196" t="s">
        <v>17</v>
      </c>
      <c r="H196">
        <f>MONTH(Table1[[#This Row],[Date]])</f>
        <v>4</v>
      </c>
      <c r="I196" s="2">
        <f>WEEKDAY(Table1[[#This Row],[Date]])</f>
        <v>7</v>
      </c>
      <c r="J196">
        <f>Table1[[#This Row],[Credit]]-Table1[[#This Row],[Debit]]</f>
        <v>-5</v>
      </c>
    </row>
    <row r="197" spans="1:10">
      <c r="A197" s="1">
        <v>44683</v>
      </c>
      <c r="B197" t="s">
        <v>14</v>
      </c>
      <c r="C197">
        <v>5</v>
      </c>
      <c r="E197" t="s">
        <v>15</v>
      </c>
      <c r="F197" t="s">
        <v>16</v>
      </c>
      <c r="G197" t="s">
        <v>17</v>
      </c>
      <c r="H197">
        <f>MONTH(Table1[[#This Row],[Date]])</f>
        <v>5</v>
      </c>
      <c r="I197" s="2">
        <f>WEEKDAY(Table1[[#This Row],[Date]])</f>
        <v>2</v>
      </c>
      <c r="J197">
        <f>Table1[[#This Row],[Credit]]-Table1[[#This Row],[Debit]]</f>
        <v>-5</v>
      </c>
    </row>
    <row r="198" spans="1:10">
      <c r="A198" s="1">
        <v>44684</v>
      </c>
      <c r="B198" t="s">
        <v>10</v>
      </c>
      <c r="D198">
        <v>5000</v>
      </c>
      <c r="E198" t="s">
        <v>11</v>
      </c>
      <c r="F198" t="s">
        <v>12</v>
      </c>
      <c r="G198" t="s">
        <v>13</v>
      </c>
      <c r="H198">
        <f>MONTH(Table1[[#This Row],[Date]])</f>
        <v>5</v>
      </c>
      <c r="I198" s="2">
        <f>WEEKDAY(Table1[[#This Row],[Date]])</f>
        <v>3</v>
      </c>
      <c r="J198">
        <f>Table1[[#This Row],[Credit]]-Table1[[#This Row],[Debit]]</f>
        <v>5000</v>
      </c>
    </row>
    <row r="199" spans="1:10">
      <c r="A199" s="1">
        <v>44684</v>
      </c>
      <c r="B199" t="s">
        <v>18</v>
      </c>
      <c r="C199">
        <v>875</v>
      </c>
      <c r="E199" t="s">
        <v>19</v>
      </c>
      <c r="F199" t="s">
        <v>20</v>
      </c>
      <c r="G199" t="s">
        <v>17</v>
      </c>
      <c r="H199">
        <f>MONTH(Table1[[#This Row],[Date]])</f>
        <v>5</v>
      </c>
      <c r="I199" s="2">
        <f>WEEKDAY(Table1[[#This Row],[Date]])</f>
        <v>3</v>
      </c>
      <c r="J199">
        <f>Table1[[#This Row],[Credit]]-Table1[[#This Row],[Debit]]</f>
        <v>-875</v>
      </c>
    </row>
    <row r="200" spans="1:10">
      <c r="A200" s="1">
        <v>44684</v>
      </c>
      <c r="B200" t="s">
        <v>21</v>
      </c>
      <c r="C200">
        <v>150</v>
      </c>
      <c r="E200" t="s">
        <v>22</v>
      </c>
      <c r="F200" t="s">
        <v>23</v>
      </c>
      <c r="G200" t="s">
        <v>17</v>
      </c>
      <c r="H200">
        <f>MONTH(Table1[[#This Row],[Date]])</f>
        <v>5</v>
      </c>
      <c r="I200" s="2">
        <f>WEEKDAY(Table1[[#This Row],[Date]])</f>
        <v>3</v>
      </c>
      <c r="J200">
        <f>Table1[[#This Row],[Credit]]-Table1[[#This Row],[Debit]]</f>
        <v>-150</v>
      </c>
    </row>
    <row r="201" spans="1:10">
      <c r="A201" s="1">
        <v>44684</v>
      </c>
      <c r="B201" t="s">
        <v>14</v>
      </c>
      <c r="C201">
        <v>5</v>
      </c>
      <c r="E201" t="s">
        <v>15</v>
      </c>
      <c r="F201" t="s">
        <v>16</v>
      </c>
      <c r="G201" t="s">
        <v>17</v>
      </c>
      <c r="H201">
        <f>MONTH(Table1[[#This Row],[Date]])</f>
        <v>5</v>
      </c>
      <c r="I201" s="2">
        <f>WEEKDAY(Table1[[#This Row],[Date]])</f>
        <v>3</v>
      </c>
      <c r="J201">
        <f>Table1[[#This Row],[Credit]]-Table1[[#This Row],[Debit]]</f>
        <v>-5</v>
      </c>
    </row>
    <row r="202" spans="1:10">
      <c r="A202" s="1">
        <v>44685</v>
      </c>
      <c r="B202" t="s">
        <v>14</v>
      </c>
      <c r="C202">
        <v>5</v>
      </c>
      <c r="E202" t="s">
        <v>15</v>
      </c>
      <c r="F202" t="s">
        <v>16</v>
      </c>
      <c r="G202" t="s">
        <v>17</v>
      </c>
      <c r="H202">
        <f>MONTH(Table1[[#This Row],[Date]])</f>
        <v>5</v>
      </c>
      <c r="I202" s="2">
        <f>WEEKDAY(Table1[[#This Row],[Date]])</f>
        <v>4</v>
      </c>
      <c r="J202">
        <f>Table1[[#This Row],[Credit]]-Table1[[#This Row],[Debit]]</f>
        <v>-5</v>
      </c>
    </row>
    <row r="203" spans="1:10">
      <c r="A203" s="1">
        <v>44686</v>
      </c>
      <c r="B203" t="s">
        <v>14</v>
      </c>
      <c r="C203">
        <v>5</v>
      </c>
      <c r="E203" t="s">
        <v>15</v>
      </c>
      <c r="F203" t="s">
        <v>16</v>
      </c>
      <c r="G203" t="s">
        <v>17</v>
      </c>
      <c r="H203">
        <f>MONTH(Table1[[#This Row],[Date]])</f>
        <v>5</v>
      </c>
      <c r="I203" s="2">
        <f>WEEKDAY(Table1[[#This Row],[Date]])</f>
        <v>5</v>
      </c>
      <c r="J203">
        <f>Table1[[#This Row],[Credit]]-Table1[[#This Row],[Debit]]</f>
        <v>-5</v>
      </c>
    </row>
    <row r="204" spans="1:10">
      <c r="A204" s="1">
        <v>44687</v>
      </c>
      <c r="B204" t="s">
        <v>14</v>
      </c>
      <c r="C204">
        <v>5</v>
      </c>
      <c r="E204" t="s">
        <v>15</v>
      </c>
      <c r="F204" t="s">
        <v>16</v>
      </c>
      <c r="G204" t="s">
        <v>17</v>
      </c>
      <c r="H204">
        <f>MONTH(Table1[[#This Row],[Date]])</f>
        <v>5</v>
      </c>
      <c r="I204" s="2">
        <f>WEEKDAY(Table1[[#This Row],[Date]])</f>
        <v>6</v>
      </c>
      <c r="J204">
        <f>Table1[[#This Row],[Credit]]-Table1[[#This Row],[Debit]]</f>
        <v>-5</v>
      </c>
    </row>
    <row r="205" spans="1:10">
      <c r="A205" s="1">
        <v>44687</v>
      </c>
      <c r="B205" t="s">
        <v>18</v>
      </c>
      <c r="C205">
        <v>170</v>
      </c>
      <c r="E205" t="s">
        <v>19</v>
      </c>
      <c r="F205" t="s">
        <v>20</v>
      </c>
      <c r="G205" t="s">
        <v>17</v>
      </c>
      <c r="H205">
        <f>MONTH(Table1[[#This Row],[Date]])</f>
        <v>5</v>
      </c>
      <c r="I205" s="2">
        <f>WEEKDAY(Table1[[#This Row],[Date]])</f>
        <v>6</v>
      </c>
      <c r="J205">
        <f>Table1[[#This Row],[Credit]]-Table1[[#This Row],[Debit]]</f>
        <v>-170</v>
      </c>
    </row>
    <row r="206" spans="1:10">
      <c r="A206" s="1">
        <v>44690</v>
      </c>
      <c r="B206" t="s">
        <v>24</v>
      </c>
      <c r="C206">
        <v>54.1</v>
      </c>
      <c r="E206" t="s">
        <v>25</v>
      </c>
      <c r="F206" t="s">
        <v>20</v>
      </c>
      <c r="G206" t="s">
        <v>17</v>
      </c>
      <c r="H206">
        <f>MONTH(Table1[[#This Row],[Date]])</f>
        <v>5</v>
      </c>
      <c r="I206" s="2">
        <f>WEEKDAY(Table1[[#This Row],[Date]])</f>
        <v>2</v>
      </c>
      <c r="J206">
        <f>Table1[[#This Row],[Credit]]-Table1[[#This Row],[Debit]]</f>
        <v>-54.1</v>
      </c>
    </row>
    <row r="207" spans="1:10">
      <c r="A207" s="1">
        <v>44690</v>
      </c>
      <c r="B207" t="s">
        <v>14</v>
      </c>
      <c r="C207">
        <v>5</v>
      </c>
      <c r="E207" t="s">
        <v>15</v>
      </c>
      <c r="F207" t="s">
        <v>16</v>
      </c>
      <c r="G207" t="s">
        <v>17</v>
      </c>
      <c r="H207">
        <f>MONTH(Table1[[#This Row],[Date]])</f>
        <v>5</v>
      </c>
      <c r="I207" s="2">
        <f>WEEKDAY(Table1[[#This Row],[Date]])</f>
        <v>2</v>
      </c>
      <c r="J207">
        <f>Table1[[#This Row],[Credit]]-Table1[[#This Row],[Debit]]</f>
        <v>-5</v>
      </c>
    </row>
    <row r="208" spans="1:10">
      <c r="A208" s="1">
        <v>44691</v>
      </c>
      <c r="B208" t="s">
        <v>14</v>
      </c>
      <c r="C208">
        <v>5</v>
      </c>
      <c r="E208" t="s">
        <v>15</v>
      </c>
      <c r="F208" t="s">
        <v>16</v>
      </c>
      <c r="G208" t="s">
        <v>17</v>
      </c>
      <c r="H208">
        <f>MONTH(Table1[[#This Row],[Date]])</f>
        <v>5</v>
      </c>
      <c r="I208" s="2">
        <f>WEEKDAY(Table1[[#This Row],[Date]])</f>
        <v>3</v>
      </c>
      <c r="J208">
        <f>Table1[[#This Row],[Credit]]-Table1[[#This Row],[Debit]]</f>
        <v>-5</v>
      </c>
    </row>
    <row r="209" spans="1:10">
      <c r="A209" s="1">
        <v>44692</v>
      </c>
      <c r="B209" t="s">
        <v>26</v>
      </c>
      <c r="C209">
        <v>81</v>
      </c>
      <c r="E209" t="s">
        <v>52</v>
      </c>
      <c r="F209" t="s">
        <v>39</v>
      </c>
      <c r="G209" t="s">
        <v>17</v>
      </c>
      <c r="H209">
        <f>MONTH(Table1[[#This Row],[Date]])</f>
        <v>5</v>
      </c>
      <c r="I209" s="2">
        <f>WEEKDAY(Table1[[#This Row],[Date]])</f>
        <v>4</v>
      </c>
      <c r="J209">
        <f>Table1[[#This Row],[Credit]]-Table1[[#This Row],[Debit]]</f>
        <v>-81</v>
      </c>
    </row>
    <row r="210" spans="1:10">
      <c r="A210" s="1">
        <v>44692</v>
      </c>
      <c r="B210" t="s">
        <v>14</v>
      </c>
      <c r="C210">
        <v>5</v>
      </c>
      <c r="E210" t="s">
        <v>15</v>
      </c>
      <c r="F210" t="s">
        <v>16</v>
      </c>
      <c r="G210" t="s">
        <v>17</v>
      </c>
      <c r="H210">
        <f>MONTH(Table1[[#This Row],[Date]])</f>
        <v>5</v>
      </c>
      <c r="I210" s="2">
        <f>WEEKDAY(Table1[[#This Row],[Date]])</f>
        <v>4</v>
      </c>
      <c r="J210">
        <f>Table1[[#This Row],[Credit]]-Table1[[#This Row],[Debit]]</f>
        <v>-5</v>
      </c>
    </row>
    <row r="211" spans="1:10">
      <c r="A211" s="1">
        <v>44693</v>
      </c>
      <c r="B211" t="s">
        <v>14</v>
      </c>
      <c r="C211">
        <v>5</v>
      </c>
      <c r="E211" t="s">
        <v>15</v>
      </c>
      <c r="F211" t="s">
        <v>16</v>
      </c>
      <c r="G211" t="s">
        <v>17</v>
      </c>
      <c r="H211">
        <f>MONTH(Table1[[#This Row],[Date]])</f>
        <v>5</v>
      </c>
      <c r="I211" s="2">
        <f>WEEKDAY(Table1[[#This Row],[Date]])</f>
        <v>5</v>
      </c>
      <c r="J211">
        <f>Table1[[#This Row],[Credit]]-Table1[[#This Row],[Debit]]</f>
        <v>-5</v>
      </c>
    </row>
    <row r="212" spans="1:10">
      <c r="A212" s="1">
        <v>44694</v>
      </c>
      <c r="B212" t="s">
        <v>18</v>
      </c>
      <c r="C212">
        <v>139.1</v>
      </c>
      <c r="E212" t="s">
        <v>19</v>
      </c>
      <c r="F212" t="s">
        <v>20</v>
      </c>
      <c r="G212" t="s">
        <v>17</v>
      </c>
      <c r="H212">
        <f>MONTH(Table1[[#This Row],[Date]])</f>
        <v>5</v>
      </c>
      <c r="I212" s="2">
        <f>WEEKDAY(Table1[[#This Row],[Date]])</f>
        <v>6</v>
      </c>
      <c r="J212">
        <f>Table1[[#This Row],[Credit]]-Table1[[#This Row],[Debit]]</f>
        <v>-139.1</v>
      </c>
    </row>
    <row r="213" spans="1:10">
      <c r="A213" s="1">
        <v>44694</v>
      </c>
      <c r="B213" t="s">
        <v>14</v>
      </c>
      <c r="C213">
        <v>5</v>
      </c>
      <c r="E213" t="s">
        <v>15</v>
      </c>
      <c r="F213" t="s">
        <v>16</v>
      </c>
      <c r="G213" t="s">
        <v>17</v>
      </c>
      <c r="H213">
        <f>MONTH(Table1[[#This Row],[Date]])</f>
        <v>5</v>
      </c>
      <c r="I213" s="2">
        <f>WEEKDAY(Table1[[#This Row],[Date]])</f>
        <v>6</v>
      </c>
      <c r="J213">
        <f>Table1[[#This Row],[Credit]]-Table1[[#This Row],[Debit]]</f>
        <v>-5</v>
      </c>
    </row>
    <row r="214" spans="1:10">
      <c r="A214" s="1">
        <v>44695</v>
      </c>
      <c r="B214" t="s">
        <v>14</v>
      </c>
      <c r="C214">
        <v>5</v>
      </c>
      <c r="E214" t="s">
        <v>15</v>
      </c>
      <c r="F214" t="s">
        <v>16</v>
      </c>
      <c r="G214" t="s">
        <v>17</v>
      </c>
      <c r="H214">
        <f>MONTH(Table1[[#This Row],[Date]])</f>
        <v>5</v>
      </c>
      <c r="I214" s="2">
        <f>WEEKDAY(Table1[[#This Row],[Date]])</f>
        <v>7</v>
      </c>
      <c r="J214">
        <f>Table1[[#This Row],[Credit]]-Table1[[#This Row],[Debit]]</f>
        <v>-5</v>
      </c>
    </row>
    <row r="215" spans="1:10">
      <c r="A215" s="1">
        <v>44695</v>
      </c>
      <c r="B215" t="s">
        <v>27</v>
      </c>
      <c r="C215">
        <v>43.9</v>
      </c>
      <c r="E215" t="s">
        <v>28</v>
      </c>
      <c r="F215" t="s">
        <v>29</v>
      </c>
      <c r="G215" t="s">
        <v>17</v>
      </c>
      <c r="H215">
        <f>MONTH(Table1[[#This Row],[Date]])</f>
        <v>5</v>
      </c>
      <c r="I215" s="2">
        <f>WEEKDAY(Table1[[#This Row],[Date]])</f>
        <v>7</v>
      </c>
      <c r="J215">
        <f>Table1[[#This Row],[Credit]]-Table1[[#This Row],[Debit]]</f>
        <v>-43.9</v>
      </c>
    </row>
    <row r="216" spans="1:10">
      <c r="A216" s="1">
        <v>44695</v>
      </c>
      <c r="B216" t="s">
        <v>78</v>
      </c>
      <c r="C216">
        <v>101.80000000000001</v>
      </c>
      <c r="E216" t="s">
        <v>31</v>
      </c>
      <c r="F216" t="s">
        <v>29</v>
      </c>
      <c r="G216" t="s">
        <v>17</v>
      </c>
      <c r="H216">
        <f>MONTH(Table1[[#This Row],[Date]])</f>
        <v>5</v>
      </c>
      <c r="I216" s="2">
        <f>WEEKDAY(Table1[[#This Row],[Date]])</f>
        <v>7</v>
      </c>
      <c r="J216">
        <f>Table1[[#This Row],[Credit]]-Table1[[#This Row],[Debit]]</f>
        <v>-101.80000000000001</v>
      </c>
    </row>
    <row r="217" spans="1:10">
      <c r="A217" s="1">
        <v>44695</v>
      </c>
      <c r="B217" t="s">
        <v>32</v>
      </c>
      <c r="C217">
        <v>55.9</v>
      </c>
      <c r="E217" t="s">
        <v>33</v>
      </c>
      <c r="F217" t="s">
        <v>16</v>
      </c>
      <c r="G217" t="s">
        <v>17</v>
      </c>
      <c r="H217">
        <f>MONTH(Table1[[#This Row],[Date]])</f>
        <v>5</v>
      </c>
      <c r="I217" s="2">
        <f>WEEKDAY(Table1[[#This Row],[Date]])</f>
        <v>7</v>
      </c>
      <c r="J217">
        <f>Table1[[#This Row],[Credit]]-Table1[[#This Row],[Debit]]</f>
        <v>-55.9</v>
      </c>
    </row>
    <row r="218" spans="1:10">
      <c r="A218" s="1">
        <v>44696</v>
      </c>
      <c r="B218" t="s">
        <v>37</v>
      </c>
      <c r="C218">
        <v>32</v>
      </c>
      <c r="E218" t="s">
        <v>38</v>
      </c>
      <c r="F218" t="s">
        <v>39</v>
      </c>
      <c r="G218" t="s">
        <v>17</v>
      </c>
      <c r="H218">
        <f>MONTH(Table1[[#This Row],[Date]])</f>
        <v>5</v>
      </c>
      <c r="I218" s="2">
        <f>WEEKDAY(Table1[[#This Row],[Date]])</f>
        <v>1</v>
      </c>
      <c r="J218">
        <f>Table1[[#This Row],[Credit]]-Table1[[#This Row],[Debit]]</f>
        <v>-32</v>
      </c>
    </row>
    <row r="219" spans="1:10">
      <c r="A219" s="1">
        <v>44697</v>
      </c>
      <c r="B219" t="s">
        <v>13</v>
      </c>
      <c r="D219">
        <v>1000</v>
      </c>
      <c r="E219" t="s">
        <v>58</v>
      </c>
      <c r="F219" t="s">
        <v>41</v>
      </c>
      <c r="G219" t="s">
        <v>13</v>
      </c>
      <c r="H219">
        <f>MONTH(Table1[[#This Row],[Date]])</f>
        <v>5</v>
      </c>
      <c r="I219" s="2">
        <f>WEEKDAY(Table1[[#This Row],[Date]])</f>
        <v>2</v>
      </c>
      <c r="J219">
        <f>Table1[[#This Row],[Credit]]-Table1[[#This Row],[Debit]]</f>
        <v>1000</v>
      </c>
    </row>
    <row r="220" spans="1:10">
      <c r="A220" s="1">
        <v>44697</v>
      </c>
      <c r="B220" t="s">
        <v>14</v>
      </c>
      <c r="C220">
        <v>5</v>
      </c>
      <c r="E220" t="s">
        <v>15</v>
      </c>
      <c r="F220" t="s">
        <v>16</v>
      </c>
      <c r="G220" t="s">
        <v>17</v>
      </c>
      <c r="H220">
        <f>MONTH(Table1[[#This Row],[Date]])</f>
        <v>5</v>
      </c>
      <c r="I220" s="2">
        <f>WEEKDAY(Table1[[#This Row],[Date]])</f>
        <v>2</v>
      </c>
      <c r="J220">
        <f>Table1[[#This Row],[Credit]]-Table1[[#This Row],[Debit]]</f>
        <v>-5</v>
      </c>
    </row>
    <row r="221" spans="1:10">
      <c r="A221" s="1">
        <v>44698</v>
      </c>
      <c r="B221" t="s">
        <v>14</v>
      </c>
      <c r="C221">
        <v>5</v>
      </c>
      <c r="E221" t="s">
        <v>15</v>
      </c>
      <c r="F221" t="s">
        <v>16</v>
      </c>
      <c r="G221" t="s">
        <v>17</v>
      </c>
      <c r="H221">
        <f>MONTH(Table1[[#This Row],[Date]])</f>
        <v>5</v>
      </c>
      <c r="I221" s="2">
        <f>WEEKDAY(Table1[[#This Row],[Date]])</f>
        <v>3</v>
      </c>
      <c r="J221">
        <f>Table1[[#This Row],[Credit]]-Table1[[#This Row],[Debit]]</f>
        <v>-5</v>
      </c>
    </row>
    <row r="222" spans="1:10">
      <c r="A222" s="1">
        <v>44698</v>
      </c>
      <c r="B222" t="s">
        <v>67</v>
      </c>
      <c r="C222">
        <v>75</v>
      </c>
      <c r="E222" t="s">
        <v>56</v>
      </c>
      <c r="F222" t="s">
        <v>36</v>
      </c>
      <c r="G222" t="s">
        <v>17</v>
      </c>
      <c r="H222">
        <f>MONTH(Table1[[#This Row],[Date]])</f>
        <v>5</v>
      </c>
      <c r="I222" s="2">
        <f>WEEKDAY(Table1[[#This Row],[Date]])</f>
        <v>3</v>
      </c>
      <c r="J222">
        <f>Table1[[#This Row],[Credit]]-Table1[[#This Row],[Debit]]</f>
        <v>-75</v>
      </c>
    </row>
    <row r="223" spans="1:10">
      <c r="A223" s="1">
        <v>44698</v>
      </c>
      <c r="B223" t="s">
        <v>43</v>
      </c>
      <c r="C223">
        <v>40</v>
      </c>
      <c r="E223" t="s">
        <v>43</v>
      </c>
      <c r="F223" t="s">
        <v>20</v>
      </c>
      <c r="G223" t="s">
        <v>17</v>
      </c>
      <c r="H223">
        <f>MONTH(Table1[[#This Row],[Date]])</f>
        <v>5</v>
      </c>
      <c r="I223" s="2">
        <f>WEEKDAY(Table1[[#This Row],[Date]])</f>
        <v>3</v>
      </c>
      <c r="J223">
        <f>Table1[[#This Row],[Credit]]-Table1[[#This Row],[Debit]]</f>
        <v>-40</v>
      </c>
    </row>
    <row r="224" spans="1:10">
      <c r="A224" s="1">
        <v>44699</v>
      </c>
      <c r="B224" t="s">
        <v>44</v>
      </c>
      <c r="C224">
        <v>49</v>
      </c>
      <c r="E224" t="s">
        <v>45</v>
      </c>
      <c r="F224" t="s">
        <v>29</v>
      </c>
      <c r="G224" t="s">
        <v>17</v>
      </c>
      <c r="H224">
        <f>MONTH(Table1[[#This Row],[Date]])</f>
        <v>5</v>
      </c>
      <c r="I224" s="2">
        <f>WEEKDAY(Table1[[#This Row],[Date]])</f>
        <v>4</v>
      </c>
      <c r="J224">
        <f>Table1[[#This Row],[Credit]]-Table1[[#This Row],[Debit]]</f>
        <v>-49</v>
      </c>
    </row>
    <row r="225" spans="1:10">
      <c r="A225" s="1">
        <v>44699</v>
      </c>
      <c r="B225" t="s">
        <v>46</v>
      </c>
      <c r="C225">
        <v>35</v>
      </c>
      <c r="E225" t="s">
        <v>28</v>
      </c>
      <c r="F225" t="s">
        <v>29</v>
      </c>
      <c r="G225" t="s">
        <v>17</v>
      </c>
      <c r="H225">
        <f>MONTH(Table1[[#This Row],[Date]])</f>
        <v>5</v>
      </c>
      <c r="I225" s="2">
        <f>WEEKDAY(Table1[[#This Row],[Date]])</f>
        <v>4</v>
      </c>
      <c r="J225">
        <f>Table1[[#This Row],[Credit]]-Table1[[#This Row],[Debit]]</f>
        <v>-35</v>
      </c>
    </row>
    <row r="226" spans="1:10">
      <c r="A226" s="1">
        <v>44699</v>
      </c>
      <c r="B226" t="s">
        <v>14</v>
      </c>
      <c r="C226">
        <v>5</v>
      </c>
      <c r="E226" t="s">
        <v>15</v>
      </c>
      <c r="F226" t="s">
        <v>16</v>
      </c>
      <c r="G226" t="s">
        <v>17</v>
      </c>
      <c r="H226">
        <f>MONTH(Table1[[#This Row],[Date]])</f>
        <v>5</v>
      </c>
      <c r="I226" s="2">
        <f>WEEKDAY(Table1[[#This Row],[Date]])</f>
        <v>4</v>
      </c>
      <c r="J226">
        <f>Table1[[#This Row],[Credit]]-Table1[[#This Row],[Debit]]</f>
        <v>-5</v>
      </c>
    </row>
    <row r="227" spans="1:10">
      <c r="A227" s="1">
        <v>44700</v>
      </c>
      <c r="B227" t="s">
        <v>14</v>
      </c>
      <c r="C227">
        <v>5</v>
      </c>
      <c r="E227" t="s">
        <v>15</v>
      </c>
      <c r="F227" t="s">
        <v>16</v>
      </c>
      <c r="G227" t="s">
        <v>17</v>
      </c>
      <c r="H227">
        <f>MONTH(Table1[[#This Row],[Date]])</f>
        <v>5</v>
      </c>
      <c r="I227" s="2">
        <f>WEEKDAY(Table1[[#This Row],[Date]])</f>
        <v>5</v>
      </c>
      <c r="J227">
        <f>Table1[[#This Row],[Credit]]-Table1[[#This Row],[Debit]]</f>
        <v>-5</v>
      </c>
    </row>
    <row r="228" spans="1:10">
      <c r="A228" s="1">
        <v>44701</v>
      </c>
      <c r="B228" t="s">
        <v>14</v>
      </c>
      <c r="C228">
        <v>5</v>
      </c>
      <c r="E228" t="s">
        <v>15</v>
      </c>
      <c r="F228" t="s">
        <v>16</v>
      </c>
      <c r="G228" t="s">
        <v>17</v>
      </c>
      <c r="H228">
        <f>MONTH(Table1[[#This Row],[Date]])</f>
        <v>5</v>
      </c>
      <c r="I228" s="2">
        <f>WEEKDAY(Table1[[#This Row],[Date]])</f>
        <v>6</v>
      </c>
      <c r="J228">
        <f>Table1[[#This Row],[Credit]]-Table1[[#This Row],[Debit]]</f>
        <v>-5</v>
      </c>
    </row>
    <row r="229" spans="1:10">
      <c r="A229" s="1">
        <v>44701</v>
      </c>
      <c r="B229" t="s">
        <v>18</v>
      </c>
      <c r="C229">
        <v>174</v>
      </c>
      <c r="E229" t="s">
        <v>19</v>
      </c>
      <c r="F229" t="s">
        <v>20</v>
      </c>
      <c r="G229" t="s">
        <v>17</v>
      </c>
      <c r="H229">
        <f>MONTH(Table1[[#This Row],[Date]])</f>
        <v>5</v>
      </c>
      <c r="I229" s="2">
        <f>WEEKDAY(Table1[[#This Row],[Date]])</f>
        <v>6</v>
      </c>
      <c r="J229">
        <f>Table1[[#This Row],[Credit]]-Table1[[#This Row],[Debit]]</f>
        <v>-174</v>
      </c>
    </row>
    <row r="230" spans="1:10">
      <c r="A230" s="1">
        <v>44702</v>
      </c>
      <c r="B230" t="s">
        <v>79</v>
      </c>
      <c r="C230">
        <v>41.1</v>
      </c>
      <c r="E230" t="s">
        <v>33</v>
      </c>
      <c r="F230" t="s">
        <v>16</v>
      </c>
      <c r="G230" t="s">
        <v>17</v>
      </c>
      <c r="H230">
        <f>MONTH(Table1[[#This Row],[Date]])</f>
        <v>5</v>
      </c>
      <c r="I230" s="2">
        <f>WEEKDAY(Table1[[#This Row],[Date]])</f>
        <v>7</v>
      </c>
      <c r="J230">
        <f>Table1[[#This Row],[Credit]]-Table1[[#This Row],[Debit]]</f>
        <v>-41.1</v>
      </c>
    </row>
    <row r="231" spans="1:10">
      <c r="A231" s="1">
        <v>44703</v>
      </c>
      <c r="B231" t="s">
        <v>80</v>
      </c>
      <c r="C231">
        <v>16.2</v>
      </c>
      <c r="E231" t="s">
        <v>33</v>
      </c>
      <c r="F231" t="s">
        <v>16</v>
      </c>
      <c r="G231" t="s">
        <v>17</v>
      </c>
      <c r="H231">
        <f>MONTH(Table1[[#This Row],[Date]])</f>
        <v>5</v>
      </c>
      <c r="I231" s="2">
        <f>WEEKDAY(Table1[[#This Row],[Date]])</f>
        <v>1</v>
      </c>
      <c r="J231">
        <f>Table1[[#This Row],[Credit]]-Table1[[#This Row],[Debit]]</f>
        <v>-16.2</v>
      </c>
    </row>
    <row r="232" spans="1:10">
      <c r="A232" s="1">
        <v>44704</v>
      </c>
      <c r="B232" t="s">
        <v>49</v>
      </c>
      <c r="C232">
        <v>55</v>
      </c>
      <c r="E232" t="s">
        <v>50</v>
      </c>
      <c r="F232" t="s">
        <v>51</v>
      </c>
      <c r="G232" t="s">
        <v>17</v>
      </c>
      <c r="H232">
        <f>MONTH(Table1[[#This Row],[Date]])</f>
        <v>5</v>
      </c>
      <c r="I232" s="2">
        <f>WEEKDAY(Table1[[#This Row],[Date]])</f>
        <v>2</v>
      </c>
      <c r="J232">
        <f>Table1[[#This Row],[Credit]]-Table1[[#This Row],[Debit]]</f>
        <v>-55</v>
      </c>
    </row>
    <row r="233" spans="1:10">
      <c r="A233" s="1">
        <v>44704</v>
      </c>
      <c r="B233" t="s">
        <v>26</v>
      </c>
      <c r="C233">
        <v>67</v>
      </c>
      <c r="E233" t="s">
        <v>52</v>
      </c>
      <c r="F233" t="s">
        <v>39</v>
      </c>
      <c r="G233" t="s">
        <v>17</v>
      </c>
      <c r="H233">
        <f>MONTH(Table1[[#This Row],[Date]])</f>
        <v>5</v>
      </c>
      <c r="I233" s="2">
        <f>WEEKDAY(Table1[[#This Row],[Date]])</f>
        <v>2</v>
      </c>
      <c r="J233">
        <f>Table1[[#This Row],[Credit]]-Table1[[#This Row],[Debit]]</f>
        <v>-67</v>
      </c>
    </row>
    <row r="234" spans="1:10">
      <c r="A234" s="1">
        <v>44704</v>
      </c>
      <c r="B234" t="s">
        <v>14</v>
      </c>
      <c r="C234">
        <v>5</v>
      </c>
      <c r="E234" t="s">
        <v>15</v>
      </c>
      <c r="F234" t="s">
        <v>16</v>
      </c>
      <c r="G234" t="s">
        <v>17</v>
      </c>
      <c r="H234">
        <f>MONTH(Table1[[#This Row],[Date]])</f>
        <v>5</v>
      </c>
      <c r="I234" s="2">
        <f>WEEKDAY(Table1[[#This Row],[Date]])</f>
        <v>2</v>
      </c>
      <c r="J234">
        <f>Table1[[#This Row],[Credit]]-Table1[[#This Row],[Debit]]</f>
        <v>-5</v>
      </c>
    </row>
    <row r="235" spans="1:10">
      <c r="A235" s="1">
        <v>44705</v>
      </c>
      <c r="B235" t="s">
        <v>14</v>
      </c>
      <c r="C235">
        <v>5</v>
      </c>
      <c r="E235" t="s">
        <v>15</v>
      </c>
      <c r="F235" t="s">
        <v>16</v>
      </c>
      <c r="G235" t="s">
        <v>17</v>
      </c>
      <c r="H235">
        <f>MONTH(Table1[[#This Row],[Date]])</f>
        <v>5</v>
      </c>
      <c r="I235" s="2">
        <f>WEEKDAY(Table1[[#This Row],[Date]])</f>
        <v>3</v>
      </c>
      <c r="J235">
        <f>Table1[[#This Row],[Credit]]-Table1[[#This Row],[Debit]]</f>
        <v>-5</v>
      </c>
    </row>
    <row r="236" spans="1:10">
      <c r="A236" s="1">
        <v>44706</v>
      </c>
      <c r="B236" t="s">
        <v>14</v>
      </c>
      <c r="C236">
        <v>5</v>
      </c>
      <c r="E236" t="s">
        <v>15</v>
      </c>
      <c r="F236" t="s">
        <v>16</v>
      </c>
      <c r="G236" t="s">
        <v>17</v>
      </c>
      <c r="H236">
        <f>MONTH(Table1[[#This Row],[Date]])</f>
        <v>5</v>
      </c>
      <c r="I236" s="2">
        <f>WEEKDAY(Table1[[#This Row],[Date]])</f>
        <v>4</v>
      </c>
      <c r="J236">
        <f>Table1[[#This Row],[Credit]]-Table1[[#This Row],[Debit]]</f>
        <v>-5</v>
      </c>
    </row>
    <row r="237" spans="1:10">
      <c r="A237" s="1">
        <v>44707</v>
      </c>
      <c r="B237" t="s">
        <v>14</v>
      </c>
      <c r="C237">
        <v>5</v>
      </c>
      <c r="E237" t="s">
        <v>15</v>
      </c>
      <c r="F237" t="s">
        <v>16</v>
      </c>
      <c r="G237" t="s">
        <v>17</v>
      </c>
      <c r="H237">
        <f>MONTH(Table1[[#This Row],[Date]])</f>
        <v>5</v>
      </c>
      <c r="I237" s="2">
        <f>WEEKDAY(Table1[[#This Row],[Date]])</f>
        <v>5</v>
      </c>
      <c r="J237">
        <f>Table1[[#This Row],[Credit]]-Table1[[#This Row],[Debit]]</f>
        <v>-5</v>
      </c>
    </row>
    <row r="238" spans="1:10">
      <c r="A238" s="1">
        <v>44708</v>
      </c>
      <c r="B238" t="s">
        <v>14</v>
      </c>
      <c r="C238">
        <v>5</v>
      </c>
      <c r="E238" t="s">
        <v>15</v>
      </c>
      <c r="F238" t="s">
        <v>16</v>
      </c>
      <c r="G238" t="s">
        <v>17</v>
      </c>
      <c r="H238">
        <f>MONTH(Table1[[#This Row],[Date]])</f>
        <v>5</v>
      </c>
      <c r="I238" s="2">
        <f>WEEKDAY(Table1[[#This Row],[Date]])</f>
        <v>6</v>
      </c>
      <c r="J238">
        <f>Table1[[#This Row],[Credit]]-Table1[[#This Row],[Debit]]</f>
        <v>-5</v>
      </c>
    </row>
    <row r="239" spans="1:10">
      <c r="A239" s="1">
        <v>44708</v>
      </c>
      <c r="B239" t="s">
        <v>18</v>
      </c>
      <c r="C239">
        <v>165.8</v>
      </c>
      <c r="E239" t="s">
        <v>19</v>
      </c>
      <c r="F239" t="s">
        <v>20</v>
      </c>
      <c r="G239" t="s">
        <v>17</v>
      </c>
      <c r="H239">
        <f>MONTH(Table1[[#This Row],[Date]])</f>
        <v>5</v>
      </c>
      <c r="I239" s="2">
        <f>WEEKDAY(Table1[[#This Row],[Date]])</f>
        <v>6</v>
      </c>
      <c r="J239">
        <f>Table1[[#This Row],[Credit]]-Table1[[#This Row],[Debit]]</f>
        <v>-165.8</v>
      </c>
    </row>
    <row r="240" spans="1:10">
      <c r="A240" s="1">
        <v>44709</v>
      </c>
      <c r="B240" t="s">
        <v>64</v>
      </c>
      <c r="C240">
        <v>128.80000000000001</v>
      </c>
      <c r="E240" t="s">
        <v>31</v>
      </c>
      <c r="F240" t="s">
        <v>29</v>
      </c>
      <c r="G240" t="s">
        <v>17</v>
      </c>
      <c r="H240">
        <f>MONTH(Table1[[#This Row],[Date]])</f>
        <v>5</v>
      </c>
      <c r="I240" s="2">
        <f>WEEKDAY(Table1[[#This Row],[Date]])</f>
        <v>7</v>
      </c>
      <c r="J240">
        <f>Table1[[#This Row],[Credit]]-Table1[[#This Row],[Debit]]</f>
        <v>-128.80000000000001</v>
      </c>
    </row>
    <row r="241" spans="1:10">
      <c r="A241" s="1">
        <v>44709</v>
      </c>
      <c r="B241" t="s">
        <v>81</v>
      </c>
      <c r="C241">
        <v>235</v>
      </c>
      <c r="E241" t="s">
        <v>82</v>
      </c>
      <c r="F241" t="s">
        <v>29</v>
      </c>
      <c r="G241" t="s">
        <v>17</v>
      </c>
      <c r="H241">
        <f>MONTH(Table1[[#This Row],[Date]])</f>
        <v>5</v>
      </c>
      <c r="I241" s="2">
        <f>WEEKDAY(Table1[[#This Row],[Date]])</f>
        <v>7</v>
      </c>
      <c r="J241">
        <f>Table1[[#This Row],[Credit]]-Table1[[#This Row],[Debit]]</f>
        <v>-235</v>
      </c>
    </row>
    <row r="242" spans="1:10">
      <c r="A242" s="1">
        <v>44710</v>
      </c>
      <c r="B242" t="s">
        <v>57</v>
      </c>
      <c r="C242">
        <v>149.19999999999999</v>
      </c>
      <c r="E242" t="s">
        <v>31</v>
      </c>
      <c r="F242" t="s">
        <v>29</v>
      </c>
      <c r="G242" t="s">
        <v>17</v>
      </c>
      <c r="H242">
        <f>MONTH(Table1[[#This Row],[Date]])</f>
        <v>5</v>
      </c>
      <c r="I242" s="2">
        <f>WEEKDAY(Table1[[#This Row],[Date]])</f>
        <v>1</v>
      </c>
      <c r="J242">
        <f>Table1[[#This Row],[Credit]]-Table1[[#This Row],[Debit]]</f>
        <v>-149.19999999999999</v>
      </c>
    </row>
    <row r="243" spans="1:10">
      <c r="A243" s="1">
        <v>44710</v>
      </c>
      <c r="B243" t="s">
        <v>37</v>
      </c>
      <c r="C243">
        <v>27.200000000000003</v>
      </c>
      <c r="E243" t="s">
        <v>38</v>
      </c>
      <c r="F243" t="s">
        <v>39</v>
      </c>
      <c r="G243" t="s">
        <v>17</v>
      </c>
      <c r="H243">
        <f>MONTH(Table1[[#This Row],[Date]])</f>
        <v>5</v>
      </c>
      <c r="I243" s="2">
        <f>WEEKDAY(Table1[[#This Row],[Date]])</f>
        <v>1</v>
      </c>
      <c r="J243">
        <f>Table1[[#This Row],[Credit]]-Table1[[#This Row],[Debit]]</f>
        <v>-27.200000000000003</v>
      </c>
    </row>
    <row r="244" spans="1:10">
      <c r="A244" s="1">
        <v>44712</v>
      </c>
      <c r="B244" t="s">
        <v>83</v>
      </c>
      <c r="C244">
        <v>15</v>
      </c>
      <c r="E244" t="s">
        <v>33</v>
      </c>
      <c r="F244" t="s">
        <v>16</v>
      </c>
      <c r="G244" t="s">
        <v>17</v>
      </c>
      <c r="H244">
        <f>MONTH(Table1[[#This Row],[Date]])</f>
        <v>5</v>
      </c>
      <c r="I244" s="2">
        <f>WEEKDAY(Table1[[#This Row],[Date]])</f>
        <v>3</v>
      </c>
      <c r="J244">
        <f>Table1[[#This Row],[Credit]]-Table1[[#This Row],[Debit]]</f>
        <v>-15</v>
      </c>
    </row>
    <row r="245" spans="1:10">
      <c r="A245" s="1">
        <v>44711</v>
      </c>
      <c r="B245" t="s">
        <v>14</v>
      </c>
      <c r="C245">
        <v>5</v>
      </c>
      <c r="E245" t="s">
        <v>15</v>
      </c>
      <c r="F245" t="s">
        <v>16</v>
      </c>
      <c r="G245" t="s">
        <v>17</v>
      </c>
      <c r="H245">
        <f>MONTH(Table1[[#This Row],[Date]])</f>
        <v>5</v>
      </c>
      <c r="I245" s="2">
        <f>WEEKDAY(Table1[[#This Row],[Date]])</f>
        <v>2</v>
      </c>
      <c r="J245">
        <f>Table1[[#This Row],[Credit]]-Table1[[#This Row],[Debit]]</f>
        <v>-5</v>
      </c>
    </row>
    <row r="246" spans="1:10">
      <c r="A246" s="1">
        <v>44712</v>
      </c>
      <c r="B246" t="s">
        <v>14</v>
      </c>
      <c r="C246">
        <v>5</v>
      </c>
      <c r="E246" t="s">
        <v>15</v>
      </c>
      <c r="F246" t="s">
        <v>16</v>
      </c>
      <c r="G246" t="s">
        <v>17</v>
      </c>
      <c r="H246">
        <f>MONTH(Table1[[#This Row],[Date]])</f>
        <v>5</v>
      </c>
      <c r="I246" s="2">
        <f>WEEKDAY(Table1[[#This Row],[Date]])</f>
        <v>3</v>
      </c>
      <c r="J246">
        <f>Table1[[#This Row],[Credit]]-Table1[[#This Row],[Debit]]</f>
        <v>-5</v>
      </c>
    </row>
    <row r="247" spans="1:10">
      <c r="A247" s="1">
        <v>44713</v>
      </c>
      <c r="B247" t="s">
        <v>10</v>
      </c>
      <c r="D247">
        <v>5000</v>
      </c>
      <c r="E247" t="s">
        <v>11</v>
      </c>
      <c r="F247" t="s">
        <v>12</v>
      </c>
      <c r="G247" t="s">
        <v>13</v>
      </c>
      <c r="H247">
        <f>MONTH(Table1[[#This Row],[Date]])</f>
        <v>6</v>
      </c>
      <c r="I247" s="2">
        <f>WEEKDAY(Table1[[#This Row],[Date]])</f>
        <v>4</v>
      </c>
      <c r="J247">
        <f>Table1[[#This Row],[Credit]]-Table1[[#This Row],[Debit]]</f>
        <v>5000</v>
      </c>
    </row>
    <row r="248" spans="1:10">
      <c r="A248" s="1">
        <v>44715</v>
      </c>
      <c r="B248" t="s">
        <v>14</v>
      </c>
      <c r="C248">
        <v>5</v>
      </c>
      <c r="E248" t="s">
        <v>15</v>
      </c>
      <c r="F248" t="s">
        <v>16</v>
      </c>
      <c r="G248" t="s">
        <v>17</v>
      </c>
      <c r="H248">
        <f>MONTH(Table1[[#This Row],[Date]])</f>
        <v>6</v>
      </c>
      <c r="I248" s="2">
        <f>WEEKDAY(Table1[[#This Row],[Date]])</f>
        <v>6</v>
      </c>
      <c r="J248">
        <f>Table1[[#This Row],[Credit]]-Table1[[#This Row],[Debit]]</f>
        <v>-5</v>
      </c>
    </row>
    <row r="249" spans="1:10">
      <c r="A249" s="1">
        <v>44715</v>
      </c>
      <c r="B249" t="s">
        <v>18</v>
      </c>
      <c r="C249">
        <v>650</v>
      </c>
      <c r="E249" t="s">
        <v>19</v>
      </c>
      <c r="F249" t="s">
        <v>20</v>
      </c>
      <c r="G249" t="s">
        <v>17</v>
      </c>
      <c r="H249">
        <f>MONTH(Table1[[#This Row],[Date]])</f>
        <v>6</v>
      </c>
      <c r="I249" s="2">
        <f>WEEKDAY(Table1[[#This Row],[Date]])</f>
        <v>6</v>
      </c>
      <c r="J249">
        <f>Table1[[#This Row],[Credit]]-Table1[[#This Row],[Debit]]</f>
        <v>-650</v>
      </c>
    </row>
    <row r="250" spans="1:10">
      <c r="A250" s="1">
        <v>44715</v>
      </c>
      <c r="B250" t="s">
        <v>21</v>
      </c>
      <c r="C250">
        <v>150</v>
      </c>
      <c r="E250" t="s">
        <v>22</v>
      </c>
      <c r="F250" t="s">
        <v>23</v>
      </c>
      <c r="G250" t="s">
        <v>17</v>
      </c>
      <c r="H250">
        <f>MONTH(Table1[[#This Row],[Date]])</f>
        <v>6</v>
      </c>
      <c r="I250" s="2">
        <f>WEEKDAY(Table1[[#This Row],[Date]])</f>
        <v>6</v>
      </c>
      <c r="J250">
        <f>Table1[[#This Row],[Credit]]-Table1[[#This Row],[Debit]]</f>
        <v>-150</v>
      </c>
    </row>
    <row r="251" spans="1:10">
      <c r="A251" s="1">
        <v>44715</v>
      </c>
      <c r="B251" t="s">
        <v>14</v>
      </c>
      <c r="C251">
        <v>5</v>
      </c>
      <c r="E251" t="s">
        <v>15</v>
      </c>
      <c r="F251" t="s">
        <v>16</v>
      </c>
      <c r="G251" t="s">
        <v>17</v>
      </c>
      <c r="H251">
        <f>MONTH(Table1[[#This Row],[Date]])</f>
        <v>6</v>
      </c>
      <c r="I251" s="2">
        <f>WEEKDAY(Table1[[#This Row],[Date]])</f>
        <v>6</v>
      </c>
      <c r="J251">
        <f>Table1[[#This Row],[Credit]]-Table1[[#This Row],[Debit]]</f>
        <v>-5</v>
      </c>
    </row>
    <row r="252" spans="1:10">
      <c r="A252" s="1">
        <v>44716</v>
      </c>
      <c r="B252" t="s">
        <v>14</v>
      </c>
      <c r="C252">
        <v>5</v>
      </c>
      <c r="E252" t="s">
        <v>15</v>
      </c>
      <c r="F252" t="s">
        <v>16</v>
      </c>
      <c r="G252" t="s">
        <v>17</v>
      </c>
      <c r="H252">
        <f>MONTH(Table1[[#This Row],[Date]])</f>
        <v>6</v>
      </c>
      <c r="I252" s="2">
        <f>WEEKDAY(Table1[[#This Row],[Date]])</f>
        <v>7</v>
      </c>
      <c r="J252">
        <f>Table1[[#This Row],[Credit]]-Table1[[#This Row],[Debit]]</f>
        <v>-5</v>
      </c>
    </row>
    <row r="253" spans="1:10">
      <c r="A253" s="1">
        <v>44717</v>
      </c>
      <c r="B253" t="s">
        <v>14</v>
      </c>
      <c r="C253">
        <v>5</v>
      </c>
      <c r="E253" t="s">
        <v>15</v>
      </c>
      <c r="F253" t="s">
        <v>16</v>
      </c>
      <c r="G253" t="s">
        <v>17</v>
      </c>
      <c r="H253">
        <f>MONTH(Table1[[#This Row],[Date]])</f>
        <v>6</v>
      </c>
      <c r="I253" s="2">
        <f>WEEKDAY(Table1[[#This Row],[Date]])</f>
        <v>1</v>
      </c>
      <c r="J253">
        <f>Table1[[#This Row],[Credit]]-Table1[[#This Row],[Debit]]</f>
        <v>-5</v>
      </c>
    </row>
    <row r="254" spans="1:10">
      <c r="A254" s="1">
        <v>44718</v>
      </c>
      <c r="B254" t="s">
        <v>14</v>
      </c>
      <c r="C254">
        <v>5</v>
      </c>
      <c r="E254" t="s">
        <v>15</v>
      </c>
      <c r="F254" t="s">
        <v>16</v>
      </c>
      <c r="G254" t="s">
        <v>17</v>
      </c>
      <c r="H254">
        <f>MONTH(Table1[[#This Row],[Date]])</f>
        <v>6</v>
      </c>
      <c r="I254" s="2">
        <f>WEEKDAY(Table1[[#This Row],[Date]])</f>
        <v>2</v>
      </c>
      <c r="J254">
        <f>Table1[[#This Row],[Credit]]-Table1[[#This Row],[Debit]]</f>
        <v>-5</v>
      </c>
    </row>
    <row r="255" spans="1:10">
      <c r="A255" s="1">
        <v>44718</v>
      </c>
      <c r="B255" t="s">
        <v>18</v>
      </c>
      <c r="C255">
        <v>119</v>
      </c>
      <c r="E255" t="s">
        <v>19</v>
      </c>
      <c r="F255" t="s">
        <v>20</v>
      </c>
      <c r="G255" t="s">
        <v>17</v>
      </c>
      <c r="H255">
        <f>MONTH(Table1[[#This Row],[Date]])</f>
        <v>6</v>
      </c>
      <c r="I255" s="2">
        <f>WEEKDAY(Table1[[#This Row],[Date]])</f>
        <v>2</v>
      </c>
      <c r="J255">
        <f>Table1[[#This Row],[Credit]]-Table1[[#This Row],[Debit]]</f>
        <v>-119</v>
      </c>
    </row>
    <row r="256" spans="1:10">
      <c r="A256" s="1">
        <v>44721</v>
      </c>
      <c r="B256" t="s">
        <v>24</v>
      </c>
      <c r="C256">
        <v>55</v>
      </c>
      <c r="E256" t="s">
        <v>25</v>
      </c>
      <c r="F256" t="s">
        <v>20</v>
      </c>
      <c r="G256" t="s">
        <v>17</v>
      </c>
      <c r="H256">
        <f>MONTH(Table1[[#This Row],[Date]])</f>
        <v>6</v>
      </c>
      <c r="I256" s="2">
        <f>WEEKDAY(Table1[[#This Row],[Date]])</f>
        <v>5</v>
      </c>
      <c r="J256">
        <f>Table1[[#This Row],[Credit]]-Table1[[#This Row],[Debit]]</f>
        <v>-55</v>
      </c>
    </row>
    <row r="257" spans="1:10">
      <c r="A257" s="1">
        <v>44721</v>
      </c>
      <c r="B257" t="s">
        <v>14</v>
      </c>
      <c r="C257">
        <v>5</v>
      </c>
      <c r="E257" t="s">
        <v>15</v>
      </c>
      <c r="F257" t="s">
        <v>16</v>
      </c>
      <c r="G257" t="s">
        <v>17</v>
      </c>
      <c r="H257">
        <f>MONTH(Table1[[#This Row],[Date]])</f>
        <v>6</v>
      </c>
      <c r="I257" s="2">
        <f>WEEKDAY(Table1[[#This Row],[Date]])</f>
        <v>5</v>
      </c>
      <c r="J257">
        <f>Table1[[#This Row],[Credit]]-Table1[[#This Row],[Debit]]</f>
        <v>-5</v>
      </c>
    </row>
    <row r="258" spans="1:10">
      <c r="A258" s="1">
        <v>44722</v>
      </c>
      <c r="B258" t="s">
        <v>14</v>
      </c>
      <c r="C258">
        <v>5</v>
      </c>
      <c r="E258" t="s">
        <v>15</v>
      </c>
      <c r="F258" t="s">
        <v>16</v>
      </c>
      <c r="G258" t="s">
        <v>17</v>
      </c>
      <c r="H258">
        <f>MONTH(Table1[[#This Row],[Date]])</f>
        <v>6</v>
      </c>
      <c r="I258" s="2">
        <f>WEEKDAY(Table1[[#This Row],[Date]])</f>
        <v>6</v>
      </c>
      <c r="J258">
        <f>Table1[[#This Row],[Credit]]-Table1[[#This Row],[Debit]]</f>
        <v>-5</v>
      </c>
    </row>
    <row r="259" spans="1:10">
      <c r="A259" s="1">
        <v>44723</v>
      </c>
      <c r="B259" t="s">
        <v>26</v>
      </c>
      <c r="C259">
        <v>82.1</v>
      </c>
      <c r="E259" t="s">
        <v>52</v>
      </c>
      <c r="F259" t="s">
        <v>39</v>
      </c>
      <c r="G259" t="s">
        <v>17</v>
      </c>
      <c r="H259">
        <f>MONTH(Table1[[#This Row],[Date]])</f>
        <v>6</v>
      </c>
      <c r="I259" s="2">
        <f>WEEKDAY(Table1[[#This Row],[Date]])</f>
        <v>7</v>
      </c>
      <c r="J259">
        <f>Table1[[#This Row],[Credit]]-Table1[[#This Row],[Debit]]</f>
        <v>-82.1</v>
      </c>
    </row>
    <row r="260" spans="1:10">
      <c r="A260" s="1">
        <v>44723</v>
      </c>
      <c r="B260" t="s">
        <v>14</v>
      </c>
      <c r="C260">
        <v>5</v>
      </c>
      <c r="E260" t="s">
        <v>15</v>
      </c>
      <c r="F260" t="s">
        <v>16</v>
      </c>
      <c r="G260" t="s">
        <v>17</v>
      </c>
      <c r="H260">
        <f>MONTH(Table1[[#This Row],[Date]])</f>
        <v>6</v>
      </c>
      <c r="I260" s="2">
        <f>WEEKDAY(Table1[[#This Row],[Date]])</f>
        <v>7</v>
      </c>
      <c r="J260">
        <f>Table1[[#This Row],[Credit]]-Table1[[#This Row],[Debit]]</f>
        <v>-5</v>
      </c>
    </row>
    <row r="261" spans="1:10">
      <c r="A261" s="1">
        <v>44724</v>
      </c>
      <c r="B261" t="s">
        <v>14</v>
      </c>
      <c r="C261">
        <v>5</v>
      </c>
      <c r="E261" t="s">
        <v>15</v>
      </c>
      <c r="F261" t="s">
        <v>16</v>
      </c>
      <c r="G261" t="s">
        <v>17</v>
      </c>
      <c r="H261">
        <f>MONTH(Table1[[#This Row],[Date]])</f>
        <v>6</v>
      </c>
      <c r="I261" s="2">
        <f>WEEKDAY(Table1[[#This Row],[Date]])</f>
        <v>1</v>
      </c>
      <c r="J261">
        <f>Table1[[#This Row],[Credit]]-Table1[[#This Row],[Debit]]</f>
        <v>-5</v>
      </c>
    </row>
    <row r="262" spans="1:10">
      <c r="A262" s="1">
        <v>44725</v>
      </c>
      <c r="B262" t="s">
        <v>18</v>
      </c>
      <c r="C262">
        <v>140.19999999999999</v>
      </c>
      <c r="E262" t="s">
        <v>19</v>
      </c>
      <c r="F262" t="s">
        <v>20</v>
      </c>
      <c r="G262" t="s">
        <v>17</v>
      </c>
      <c r="H262">
        <f>MONTH(Table1[[#This Row],[Date]])</f>
        <v>6</v>
      </c>
      <c r="I262" s="2">
        <f>WEEKDAY(Table1[[#This Row],[Date]])</f>
        <v>2</v>
      </c>
      <c r="J262">
        <f>Table1[[#This Row],[Credit]]-Table1[[#This Row],[Debit]]</f>
        <v>-140.19999999999999</v>
      </c>
    </row>
    <row r="263" spans="1:10">
      <c r="A263" s="1">
        <v>44725</v>
      </c>
      <c r="B263" t="s">
        <v>14</v>
      </c>
      <c r="C263">
        <v>5</v>
      </c>
      <c r="E263" t="s">
        <v>15</v>
      </c>
      <c r="F263" t="s">
        <v>16</v>
      </c>
      <c r="G263" t="s">
        <v>17</v>
      </c>
      <c r="H263">
        <f>MONTH(Table1[[#This Row],[Date]])</f>
        <v>6</v>
      </c>
      <c r="I263" s="2">
        <f>WEEKDAY(Table1[[#This Row],[Date]])</f>
        <v>2</v>
      </c>
      <c r="J263">
        <f>Table1[[#This Row],[Credit]]-Table1[[#This Row],[Debit]]</f>
        <v>-5</v>
      </c>
    </row>
    <row r="264" spans="1:10">
      <c r="A264" s="1">
        <v>44726</v>
      </c>
      <c r="B264" t="s">
        <v>14</v>
      </c>
      <c r="C264">
        <v>5</v>
      </c>
      <c r="E264" t="s">
        <v>15</v>
      </c>
      <c r="F264" t="s">
        <v>16</v>
      </c>
      <c r="G264" t="s">
        <v>17</v>
      </c>
      <c r="H264">
        <f>MONTH(Table1[[#This Row],[Date]])</f>
        <v>6</v>
      </c>
      <c r="I264" s="2">
        <f>WEEKDAY(Table1[[#This Row],[Date]])</f>
        <v>3</v>
      </c>
      <c r="J264">
        <f>Table1[[#This Row],[Credit]]-Table1[[#This Row],[Debit]]</f>
        <v>-5</v>
      </c>
    </row>
    <row r="265" spans="1:10">
      <c r="A265" s="1">
        <v>44726</v>
      </c>
      <c r="B265" t="s">
        <v>27</v>
      </c>
      <c r="C265">
        <v>44.9</v>
      </c>
      <c r="E265" t="s">
        <v>28</v>
      </c>
      <c r="F265" t="s">
        <v>29</v>
      </c>
      <c r="G265" t="s">
        <v>17</v>
      </c>
      <c r="H265">
        <f>MONTH(Table1[[#This Row],[Date]])</f>
        <v>6</v>
      </c>
      <c r="I265" s="2">
        <f>WEEKDAY(Table1[[#This Row],[Date]])</f>
        <v>3</v>
      </c>
      <c r="J265">
        <f>Table1[[#This Row],[Credit]]-Table1[[#This Row],[Debit]]</f>
        <v>-44.9</v>
      </c>
    </row>
    <row r="266" spans="1:10">
      <c r="A266" s="1">
        <v>44726</v>
      </c>
      <c r="B266" t="s">
        <v>62</v>
      </c>
      <c r="C266">
        <v>102.9</v>
      </c>
      <c r="E266" t="s">
        <v>63</v>
      </c>
      <c r="F266" t="s">
        <v>23</v>
      </c>
      <c r="G266" t="s">
        <v>17</v>
      </c>
      <c r="H266">
        <f>MONTH(Table1[[#This Row],[Date]])</f>
        <v>6</v>
      </c>
      <c r="I266" s="2">
        <f>WEEKDAY(Table1[[#This Row],[Date]])</f>
        <v>3</v>
      </c>
      <c r="J266">
        <f>Table1[[#This Row],[Credit]]-Table1[[#This Row],[Debit]]</f>
        <v>-102.9</v>
      </c>
    </row>
    <row r="267" spans="1:10">
      <c r="A267" s="1">
        <v>44726</v>
      </c>
      <c r="B267" t="s">
        <v>32</v>
      </c>
      <c r="C267">
        <v>56.9</v>
      </c>
      <c r="E267" t="s">
        <v>33</v>
      </c>
      <c r="F267" t="s">
        <v>16</v>
      </c>
      <c r="G267" t="s">
        <v>17</v>
      </c>
      <c r="H267">
        <f>MONTH(Table1[[#This Row],[Date]])</f>
        <v>6</v>
      </c>
      <c r="I267" s="2">
        <f>WEEKDAY(Table1[[#This Row],[Date]])</f>
        <v>3</v>
      </c>
      <c r="J267">
        <f>Table1[[#This Row],[Credit]]-Table1[[#This Row],[Debit]]</f>
        <v>-56.9</v>
      </c>
    </row>
    <row r="268" spans="1:10">
      <c r="A268" s="1">
        <v>44727</v>
      </c>
      <c r="B268" t="s">
        <v>37</v>
      </c>
      <c r="C268">
        <v>33.1</v>
      </c>
      <c r="E268" t="s">
        <v>38</v>
      </c>
      <c r="F268" t="s">
        <v>39</v>
      </c>
      <c r="G268" t="s">
        <v>17</v>
      </c>
      <c r="H268">
        <f>MONTH(Table1[[#This Row],[Date]])</f>
        <v>6</v>
      </c>
      <c r="I268" s="2">
        <f>WEEKDAY(Table1[[#This Row],[Date]])</f>
        <v>4</v>
      </c>
      <c r="J268">
        <f>Table1[[#This Row],[Credit]]-Table1[[#This Row],[Debit]]</f>
        <v>-33.1</v>
      </c>
    </row>
    <row r="269" spans="1:10">
      <c r="A269" s="1">
        <v>44728</v>
      </c>
      <c r="B269" t="s">
        <v>13</v>
      </c>
      <c r="D269">
        <v>100</v>
      </c>
      <c r="E269" t="s">
        <v>40</v>
      </c>
      <c r="F269" t="s">
        <v>41</v>
      </c>
      <c r="G269" t="s">
        <v>13</v>
      </c>
      <c r="H269">
        <f>MONTH(Table1[[#This Row],[Date]])</f>
        <v>6</v>
      </c>
      <c r="I269" s="2">
        <f>WEEKDAY(Table1[[#This Row],[Date]])</f>
        <v>5</v>
      </c>
      <c r="J269">
        <f>Table1[[#This Row],[Credit]]-Table1[[#This Row],[Debit]]</f>
        <v>100</v>
      </c>
    </row>
    <row r="270" spans="1:10">
      <c r="A270" s="1">
        <v>44728</v>
      </c>
      <c r="B270" t="s">
        <v>14</v>
      </c>
      <c r="C270">
        <v>5</v>
      </c>
      <c r="E270" t="s">
        <v>15</v>
      </c>
      <c r="F270" t="s">
        <v>16</v>
      </c>
      <c r="G270" t="s">
        <v>17</v>
      </c>
      <c r="H270">
        <f>MONTH(Table1[[#This Row],[Date]])</f>
        <v>6</v>
      </c>
      <c r="I270" s="2">
        <f>WEEKDAY(Table1[[#This Row],[Date]])</f>
        <v>5</v>
      </c>
      <c r="J270">
        <f>Table1[[#This Row],[Credit]]-Table1[[#This Row],[Debit]]</f>
        <v>-5</v>
      </c>
    </row>
    <row r="271" spans="1:10">
      <c r="A271" s="1">
        <v>44729</v>
      </c>
      <c r="B271" t="s">
        <v>14</v>
      </c>
      <c r="C271">
        <v>5</v>
      </c>
      <c r="E271" t="s">
        <v>15</v>
      </c>
      <c r="F271" t="s">
        <v>16</v>
      </c>
      <c r="G271" t="s">
        <v>17</v>
      </c>
      <c r="H271">
        <f>MONTH(Table1[[#This Row],[Date]])</f>
        <v>6</v>
      </c>
      <c r="I271" s="2">
        <f>WEEKDAY(Table1[[#This Row],[Date]])</f>
        <v>6</v>
      </c>
      <c r="J271">
        <f>Table1[[#This Row],[Credit]]-Table1[[#This Row],[Debit]]</f>
        <v>-5</v>
      </c>
    </row>
    <row r="272" spans="1:10">
      <c r="A272" s="1">
        <v>44729</v>
      </c>
      <c r="B272" t="s">
        <v>43</v>
      </c>
      <c r="C272">
        <v>40</v>
      </c>
      <c r="E272" t="s">
        <v>43</v>
      </c>
      <c r="F272" t="s">
        <v>20</v>
      </c>
      <c r="G272" t="s">
        <v>17</v>
      </c>
      <c r="H272">
        <f>MONTH(Table1[[#This Row],[Date]])</f>
        <v>6</v>
      </c>
      <c r="I272" s="2">
        <f>WEEKDAY(Table1[[#This Row],[Date]])</f>
        <v>6</v>
      </c>
      <c r="J272">
        <f>Table1[[#This Row],[Credit]]-Table1[[#This Row],[Debit]]</f>
        <v>-40</v>
      </c>
    </row>
    <row r="273" spans="1:10">
      <c r="A273" s="1">
        <v>44730</v>
      </c>
      <c r="B273" t="s">
        <v>44</v>
      </c>
      <c r="C273">
        <v>50.1</v>
      </c>
      <c r="E273" t="s">
        <v>45</v>
      </c>
      <c r="F273" t="s">
        <v>29</v>
      </c>
      <c r="G273" t="s">
        <v>17</v>
      </c>
      <c r="H273">
        <f>MONTH(Table1[[#This Row],[Date]])</f>
        <v>6</v>
      </c>
      <c r="I273" s="2">
        <f>WEEKDAY(Table1[[#This Row],[Date]])</f>
        <v>7</v>
      </c>
      <c r="J273">
        <f>Table1[[#This Row],[Credit]]-Table1[[#This Row],[Debit]]</f>
        <v>-50.1</v>
      </c>
    </row>
    <row r="274" spans="1:10">
      <c r="A274" s="1">
        <v>44730</v>
      </c>
      <c r="B274" t="s">
        <v>46</v>
      </c>
      <c r="C274">
        <v>35</v>
      </c>
      <c r="E274" t="s">
        <v>28</v>
      </c>
      <c r="F274" t="s">
        <v>29</v>
      </c>
      <c r="G274" t="s">
        <v>17</v>
      </c>
      <c r="H274">
        <f>MONTH(Table1[[#This Row],[Date]])</f>
        <v>6</v>
      </c>
      <c r="I274" s="2">
        <f>WEEKDAY(Table1[[#This Row],[Date]])</f>
        <v>7</v>
      </c>
      <c r="J274">
        <f>Table1[[#This Row],[Credit]]-Table1[[#This Row],[Debit]]</f>
        <v>-35</v>
      </c>
    </row>
    <row r="275" spans="1:10">
      <c r="A275" s="1">
        <v>44730</v>
      </c>
      <c r="B275" t="s">
        <v>14</v>
      </c>
      <c r="C275">
        <v>5</v>
      </c>
      <c r="E275" t="s">
        <v>15</v>
      </c>
      <c r="F275" t="s">
        <v>16</v>
      </c>
      <c r="G275" t="s">
        <v>17</v>
      </c>
      <c r="H275">
        <f>MONTH(Table1[[#This Row],[Date]])</f>
        <v>6</v>
      </c>
      <c r="I275" s="2">
        <f>WEEKDAY(Table1[[#This Row],[Date]])</f>
        <v>7</v>
      </c>
      <c r="J275">
        <f>Table1[[#This Row],[Credit]]-Table1[[#This Row],[Debit]]</f>
        <v>-5</v>
      </c>
    </row>
    <row r="276" spans="1:10">
      <c r="A276" s="1">
        <v>44731</v>
      </c>
      <c r="B276" t="s">
        <v>67</v>
      </c>
      <c r="C276">
        <v>20</v>
      </c>
      <c r="E276" t="s">
        <v>35</v>
      </c>
      <c r="F276" t="s">
        <v>36</v>
      </c>
      <c r="G276" t="s">
        <v>17</v>
      </c>
      <c r="H276" s="3">
        <f>MONTH(Table1[[#This Row],[Date]])</f>
        <v>6</v>
      </c>
      <c r="I276" s="2">
        <f>WEEKDAY(Table1[[#This Row],[Date]])</f>
        <v>1</v>
      </c>
      <c r="J276" s="3">
        <f>Table1[[#This Row],[Credit]]-Table1[[#This Row],[Debit]]</f>
        <v>-20</v>
      </c>
    </row>
    <row r="277" spans="1:10">
      <c r="A277" s="1">
        <v>44731</v>
      </c>
      <c r="B277" t="s">
        <v>14</v>
      </c>
      <c r="C277">
        <v>5</v>
      </c>
      <c r="E277" t="s">
        <v>15</v>
      </c>
      <c r="F277" t="s">
        <v>16</v>
      </c>
      <c r="G277" t="s">
        <v>17</v>
      </c>
      <c r="H277">
        <f>MONTH(Table1[[#This Row],[Date]])</f>
        <v>6</v>
      </c>
      <c r="I277" s="2">
        <f>WEEKDAY(Table1[[#This Row],[Date]])</f>
        <v>1</v>
      </c>
      <c r="J277">
        <f>Table1[[#This Row],[Credit]]-Table1[[#This Row],[Debit]]</f>
        <v>-5</v>
      </c>
    </row>
    <row r="278" spans="1:10">
      <c r="A278" s="1">
        <v>44732</v>
      </c>
      <c r="B278" t="s">
        <v>14</v>
      </c>
      <c r="C278">
        <v>5</v>
      </c>
      <c r="E278" t="s">
        <v>15</v>
      </c>
      <c r="F278" t="s">
        <v>16</v>
      </c>
      <c r="G278" t="s">
        <v>17</v>
      </c>
      <c r="H278">
        <f>MONTH(Table1[[#This Row],[Date]])</f>
        <v>6</v>
      </c>
      <c r="I278" s="2">
        <f>WEEKDAY(Table1[[#This Row],[Date]])</f>
        <v>2</v>
      </c>
      <c r="J278">
        <f>Table1[[#This Row],[Credit]]-Table1[[#This Row],[Debit]]</f>
        <v>-5</v>
      </c>
    </row>
    <row r="279" spans="1:10">
      <c r="A279" s="1">
        <v>44732</v>
      </c>
      <c r="B279" t="s">
        <v>18</v>
      </c>
      <c r="C279">
        <v>234</v>
      </c>
      <c r="E279" t="s">
        <v>19</v>
      </c>
      <c r="F279" t="s">
        <v>20</v>
      </c>
      <c r="G279" t="s">
        <v>17</v>
      </c>
      <c r="H279">
        <f>MONTH(Table1[[#This Row],[Date]])</f>
        <v>6</v>
      </c>
      <c r="I279" s="2">
        <f>WEEKDAY(Table1[[#This Row],[Date]])</f>
        <v>2</v>
      </c>
      <c r="J279">
        <f>Table1[[#This Row],[Credit]]-Table1[[#This Row],[Debit]]</f>
        <v>-234</v>
      </c>
    </row>
    <row r="280" spans="1:10">
      <c r="A280" s="1">
        <v>44733</v>
      </c>
      <c r="B280" t="s">
        <v>68</v>
      </c>
      <c r="C280">
        <v>42.1</v>
      </c>
      <c r="E280" t="s">
        <v>33</v>
      </c>
      <c r="F280" t="s">
        <v>16</v>
      </c>
      <c r="G280" t="s">
        <v>17</v>
      </c>
      <c r="H280">
        <f>MONTH(Table1[[#This Row],[Date]])</f>
        <v>6</v>
      </c>
      <c r="I280" s="2">
        <f>WEEKDAY(Table1[[#This Row],[Date]])</f>
        <v>3</v>
      </c>
      <c r="J280">
        <f>Table1[[#This Row],[Credit]]-Table1[[#This Row],[Debit]]</f>
        <v>-42.1</v>
      </c>
    </row>
    <row r="281" spans="1:10">
      <c r="A281" s="1">
        <v>44734</v>
      </c>
      <c r="B281" t="s">
        <v>84</v>
      </c>
      <c r="C281">
        <v>17.099999999999998</v>
      </c>
      <c r="E281" t="s">
        <v>33</v>
      </c>
      <c r="F281" t="s">
        <v>16</v>
      </c>
      <c r="G281" t="s">
        <v>17</v>
      </c>
      <c r="H281">
        <f>MONTH(Table1[[#This Row],[Date]])</f>
        <v>6</v>
      </c>
      <c r="I281" s="2">
        <f>WEEKDAY(Table1[[#This Row],[Date]])</f>
        <v>4</v>
      </c>
      <c r="J281">
        <f>Table1[[#This Row],[Credit]]-Table1[[#This Row],[Debit]]</f>
        <v>-17.099999999999998</v>
      </c>
    </row>
    <row r="282" spans="1:10">
      <c r="A282" s="1">
        <v>44735</v>
      </c>
      <c r="B282" t="s">
        <v>49</v>
      </c>
      <c r="C282">
        <v>55</v>
      </c>
      <c r="E282" t="s">
        <v>50</v>
      </c>
      <c r="F282" t="s">
        <v>51</v>
      </c>
      <c r="G282" t="s">
        <v>17</v>
      </c>
      <c r="H282">
        <f>MONTH(Table1[[#This Row],[Date]])</f>
        <v>6</v>
      </c>
      <c r="I282" s="2">
        <f>WEEKDAY(Table1[[#This Row],[Date]])</f>
        <v>5</v>
      </c>
      <c r="J282">
        <f>Table1[[#This Row],[Credit]]-Table1[[#This Row],[Debit]]</f>
        <v>-55</v>
      </c>
    </row>
    <row r="283" spans="1:10">
      <c r="A283" s="1">
        <v>44735</v>
      </c>
      <c r="B283" t="s">
        <v>26</v>
      </c>
      <c r="C283">
        <v>67.900000000000006</v>
      </c>
      <c r="E283" t="s">
        <v>52</v>
      </c>
      <c r="F283" t="s">
        <v>39</v>
      </c>
      <c r="G283" t="s">
        <v>17</v>
      </c>
      <c r="H283">
        <f>MONTH(Table1[[#This Row],[Date]])</f>
        <v>6</v>
      </c>
      <c r="I283" s="2">
        <f>WEEKDAY(Table1[[#This Row],[Date]])</f>
        <v>5</v>
      </c>
      <c r="J283">
        <f>Table1[[#This Row],[Credit]]-Table1[[#This Row],[Debit]]</f>
        <v>-67.900000000000006</v>
      </c>
    </row>
    <row r="284" spans="1:10">
      <c r="A284" s="1">
        <v>44735</v>
      </c>
      <c r="B284" t="s">
        <v>14</v>
      </c>
      <c r="C284">
        <v>5</v>
      </c>
      <c r="E284" t="s">
        <v>15</v>
      </c>
      <c r="F284" t="s">
        <v>16</v>
      </c>
      <c r="G284" t="s">
        <v>17</v>
      </c>
      <c r="H284">
        <f>MONTH(Table1[[#This Row],[Date]])</f>
        <v>6</v>
      </c>
      <c r="I284" s="2">
        <f>WEEKDAY(Table1[[#This Row],[Date]])</f>
        <v>5</v>
      </c>
      <c r="J284">
        <f>Table1[[#This Row],[Credit]]-Table1[[#This Row],[Debit]]</f>
        <v>-5</v>
      </c>
    </row>
    <row r="285" spans="1:10">
      <c r="A285" s="1">
        <v>44736</v>
      </c>
      <c r="B285" t="s">
        <v>14</v>
      </c>
      <c r="C285">
        <v>5</v>
      </c>
      <c r="E285" t="s">
        <v>15</v>
      </c>
      <c r="F285" t="s">
        <v>16</v>
      </c>
      <c r="G285" t="s">
        <v>17</v>
      </c>
      <c r="H285">
        <f>MONTH(Table1[[#This Row],[Date]])</f>
        <v>6</v>
      </c>
      <c r="I285" s="2">
        <f>WEEKDAY(Table1[[#This Row],[Date]])</f>
        <v>6</v>
      </c>
      <c r="J285">
        <f>Table1[[#This Row],[Credit]]-Table1[[#This Row],[Debit]]</f>
        <v>-5</v>
      </c>
    </row>
    <row r="286" spans="1:10">
      <c r="A286" s="1">
        <v>44737</v>
      </c>
      <c r="B286" t="s">
        <v>14</v>
      </c>
      <c r="C286">
        <v>5</v>
      </c>
      <c r="E286" t="s">
        <v>15</v>
      </c>
      <c r="F286" t="s">
        <v>16</v>
      </c>
      <c r="G286" t="s">
        <v>17</v>
      </c>
      <c r="H286">
        <f>MONTH(Table1[[#This Row],[Date]])</f>
        <v>6</v>
      </c>
      <c r="I286" s="2">
        <f>WEEKDAY(Table1[[#This Row],[Date]])</f>
        <v>7</v>
      </c>
      <c r="J286">
        <f>Table1[[#This Row],[Credit]]-Table1[[#This Row],[Debit]]</f>
        <v>-5</v>
      </c>
    </row>
    <row r="287" spans="1:10">
      <c r="A287" s="1">
        <v>44738</v>
      </c>
      <c r="B287" t="s">
        <v>14</v>
      </c>
      <c r="C287">
        <v>5</v>
      </c>
      <c r="E287" t="s">
        <v>15</v>
      </c>
      <c r="F287" t="s">
        <v>16</v>
      </c>
      <c r="G287" t="s">
        <v>17</v>
      </c>
      <c r="H287">
        <f>MONTH(Table1[[#This Row],[Date]])</f>
        <v>6</v>
      </c>
      <c r="I287" s="2">
        <f>WEEKDAY(Table1[[#This Row],[Date]])</f>
        <v>1</v>
      </c>
      <c r="J287">
        <f>Table1[[#This Row],[Credit]]-Table1[[#This Row],[Debit]]</f>
        <v>-5</v>
      </c>
    </row>
    <row r="288" spans="1:10">
      <c r="A288" s="1">
        <v>44739</v>
      </c>
      <c r="B288" t="s">
        <v>14</v>
      </c>
      <c r="C288">
        <v>5</v>
      </c>
      <c r="E288" t="s">
        <v>15</v>
      </c>
      <c r="F288" t="s">
        <v>16</v>
      </c>
      <c r="G288" t="s">
        <v>17</v>
      </c>
      <c r="H288">
        <f>MONTH(Table1[[#This Row],[Date]])</f>
        <v>6</v>
      </c>
      <c r="I288" s="2">
        <f>WEEKDAY(Table1[[#This Row],[Date]])</f>
        <v>2</v>
      </c>
      <c r="J288">
        <f>Table1[[#This Row],[Credit]]-Table1[[#This Row],[Debit]]</f>
        <v>-5</v>
      </c>
    </row>
    <row r="289" spans="1:10">
      <c r="A289" s="1">
        <v>44739</v>
      </c>
      <c r="B289" t="s">
        <v>18</v>
      </c>
      <c r="C289">
        <v>166.9</v>
      </c>
      <c r="E289" t="s">
        <v>19</v>
      </c>
      <c r="F289" t="s">
        <v>20</v>
      </c>
      <c r="G289" t="s">
        <v>17</v>
      </c>
      <c r="H289">
        <f>MONTH(Table1[[#This Row],[Date]])</f>
        <v>6</v>
      </c>
      <c r="I289" s="2">
        <f>WEEKDAY(Table1[[#This Row],[Date]])</f>
        <v>2</v>
      </c>
      <c r="J289">
        <f>Table1[[#This Row],[Credit]]-Table1[[#This Row],[Debit]]</f>
        <v>-166.9</v>
      </c>
    </row>
    <row r="290" spans="1:10">
      <c r="A290" s="1">
        <v>44740</v>
      </c>
      <c r="B290" t="s">
        <v>64</v>
      </c>
      <c r="C290">
        <v>129.9</v>
      </c>
      <c r="E290" t="s">
        <v>31</v>
      </c>
      <c r="F290" t="s">
        <v>29</v>
      </c>
      <c r="G290" t="s">
        <v>17</v>
      </c>
      <c r="H290">
        <f>MONTH(Table1[[#This Row],[Date]])</f>
        <v>6</v>
      </c>
      <c r="I290" s="2">
        <f>WEEKDAY(Table1[[#This Row],[Date]])</f>
        <v>3</v>
      </c>
      <c r="J290">
        <f>Table1[[#This Row],[Credit]]-Table1[[#This Row],[Debit]]</f>
        <v>-129.9</v>
      </c>
    </row>
    <row r="291" spans="1:10">
      <c r="A291" s="1">
        <v>44740</v>
      </c>
      <c r="B291" t="s">
        <v>85</v>
      </c>
      <c r="C291">
        <v>180.29999999999998</v>
      </c>
      <c r="E291" t="s">
        <v>28</v>
      </c>
      <c r="F291" t="s">
        <v>29</v>
      </c>
      <c r="G291" t="s">
        <v>17</v>
      </c>
      <c r="H291">
        <f>MONTH(Table1[[#This Row],[Date]])</f>
        <v>6</v>
      </c>
      <c r="I291" s="2">
        <f>WEEKDAY(Table1[[#This Row],[Date]])</f>
        <v>3</v>
      </c>
      <c r="J291">
        <f>Table1[[#This Row],[Credit]]-Table1[[#This Row],[Debit]]</f>
        <v>-180.29999999999998</v>
      </c>
    </row>
    <row r="292" spans="1:10">
      <c r="A292" s="1">
        <v>44741</v>
      </c>
      <c r="B292" t="s">
        <v>30</v>
      </c>
      <c r="C292">
        <v>150.1</v>
      </c>
      <c r="E292" t="s">
        <v>31</v>
      </c>
      <c r="F292" t="s">
        <v>29</v>
      </c>
      <c r="G292" t="s">
        <v>17</v>
      </c>
      <c r="H292">
        <f>MONTH(Table1[[#This Row],[Date]])</f>
        <v>6</v>
      </c>
      <c r="I292" s="2">
        <f>WEEKDAY(Table1[[#This Row],[Date]])</f>
        <v>4</v>
      </c>
      <c r="J292">
        <f>Table1[[#This Row],[Credit]]-Table1[[#This Row],[Debit]]</f>
        <v>-150.1</v>
      </c>
    </row>
    <row r="293" spans="1:10">
      <c r="A293" s="1">
        <v>44741</v>
      </c>
      <c r="B293" t="s">
        <v>37</v>
      </c>
      <c r="C293">
        <v>28.200000000000003</v>
      </c>
      <c r="E293" t="s">
        <v>38</v>
      </c>
      <c r="F293" t="s">
        <v>39</v>
      </c>
      <c r="G293" t="s">
        <v>17</v>
      </c>
      <c r="H293">
        <f>MONTH(Table1[[#This Row],[Date]])</f>
        <v>6</v>
      </c>
      <c r="I293" s="2">
        <f>WEEKDAY(Table1[[#This Row],[Date]])</f>
        <v>4</v>
      </c>
      <c r="J293">
        <f>Table1[[#This Row],[Credit]]-Table1[[#This Row],[Debit]]</f>
        <v>-28.200000000000003</v>
      </c>
    </row>
    <row r="294" spans="1:10">
      <c r="A294" s="1">
        <v>44741</v>
      </c>
      <c r="B294" t="s">
        <v>86</v>
      </c>
      <c r="C294">
        <v>15</v>
      </c>
      <c r="E294" t="s">
        <v>33</v>
      </c>
      <c r="F294" t="s">
        <v>16</v>
      </c>
      <c r="G294" t="s">
        <v>17</v>
      </c>
      <c r="H294">
        <f>MONTH(Table1[[#This Row],[Date]])</f>
        <v>6</v>
      </c>
      <c r="I294" s="2">
        <f>WEEKDAY(Table1[[#This Row],[Date]])</f>
        <v>4</v>
      </c>
      <c r="J294">
        <f>Table1[[#This Row],[Credit]]-Table1[[#This Row],[Debit]]</f>
        <v>-15</v>
      </c>
    </row>
    <row r="295" spans="1:10">
      <c r="A295" s="1">
        <v>44742</v>
      </c>
      <c r="B295" t="s">
        <v>14</v>
      </c>
      <c r="C295">
        <v>5</v>
      </c>
      <c r="E295" t="s">
        <v>15</v>
      </c>
      <c r="F295" t="s">
        <v>16</v>
      </c>
      <c r="G295" t="s">
        <v>17</v>
      </c>
      <c r="H295">
        <f>MONTH(Table1[[#This Row],[Date]])</f>
        <v>6</v>
      </c>
      <c r="I295" s="2">
        <f>WEEKDAY(Table1[[#This Row],[Date]])</f>
        <v>5</v>
      </c>
      <c r="J295">
        <f>Table1[[#This Row],[Credit]]-Table1[[#This Row],[Debit]]</f>
        <v>-5</v>
      </c>
    </row>
    <row r="296" spans="1:10">
      <c r="A296" s="1">
        <v>44743</v>
      </c>
      <c r="B296" t="s">
        <v>14</v>
      </c>
      <c r="C296">
        <v>5</v>
      </c>
      <c r="E296" t="s">
        <v>15</v>
      </c>
      <c r="F296" t="s">
        <v>16</v>
      </c>
      <c r="G296" t="s">
        <v>17</v>
      </c>
      <c r="H296">
        <f>MONTH(Table1[[#This Row],[Date]])</f>
        <v>7</v>
      </c>
      <c r="I296" s="2">
        <f>WEEKDAY(Table1[[#This Row],[Date]])</f>
        <v>6</v>
      </c>
      <c r="J296">
        <f>Table1[[#This Row],[Credit]]-Table1[[#This Row],[Debit]]</f>
        <v>-5</v>
      </c>
    </row>
    <row r="297" spans="1:10">
      <c r="A297" s="1">
        <v>44744</v>
      </c>
      <c r="B297" t="s">
        <v>10</v>
      </c>
      <c r="D297">
        <v>5000</v>
      </c>
      <c r="E297" t="s">
        <v>11</v>
      </c>
      <c r="F297" t="s">
        <v>12</v>
      </c>
      <c r="G297" t="s">
        <v>13</v>
      </c>
      <c r="H297">
        <f>MONTH(Table1[[#This Row],[Date]])</f>
        <v>7</v>
      </c>
      <c r="I297" s="2">
        <f>WEEKDAY(Table1[[#This Row],[Date]])</f>
        <v>7</v>
      </c>
      <c r="J297">
        <f>Table1[[#This Row],[Credit]]-Table1[[#This Row],[Debit]]</f>
        <v>5000</v>
      </c>
    </row>
    <row r="298" spans="1:10">
      <c r="A298" s="1">
        <v>44745</v>
      </c>
      <c r="B298" t="s">
        <v>14</v>
      </c>
      <c r="C298">
        <v>5</v>
      </c>
      <c r="E298" t="s">
        <v>15</v>
      </c>
      <c r="F298" t="s">
        <v>16</v>
      </c>
      <c r="G298" t="s">
        <v>17</v>
      </c>
      <c r="H298">
        <f>MONTH(Table1[[#This Row],[Date]])</f>
        <v>7</v>
      </c>
      <c r="I298" s="2">
        <f>WEEKDAY(Table1[[#This Row],[Date]])</f>
        <v>1</v>
      </c>
      <c r="J298">
        <f>Table1[[#This Row],[Credit]]-Table1[[#This Row],[Debit]]</f>
        <v>-5</v>
      </c>
    </row>
    <row r="299" spans="1:10">
      <c r="A299" s="1">
        <v>44747</v>
      </c>
      <c r="B299" t="s">
        <v>18</v>
      </c>
      <c r="C299">
        <v>900</v>
      </c>
      <c r="E299" t="s">
        <v>19</v>
      </c>
      <c r="F299" t="s">
        <v>20</v>
      </c>
      <c r="G299" t="s">
        <v>17</v>
      </c>
      <c r="H299">
        <f>MONTH(Table1[[#This Row],[Date]])</f>
        <v>7</v>
      </c>
      <c r="I299" s="2">
        <f>WEEKDAY(Table1[[#This Row],[Date]])</f>
        <v>3</v>
      </c>
      <c r="J299">
        <f>Table1[[#This Row],[Credit]]-Table1[[#This Row],[Debit]]</f>
        <v>-900</v>
      </c>
    </row>
    <row r="300" spans="1:10">
      <c r="A300" s="1">
        <v>44747</v>
      </c>
      <c r="B300" t="s">
        <v>21</v>
      </c>
      <c r="C300">
        <v>150</v>
      </c>
      <c r="E300" t="s">
        <v>22</v>
      </c>
      <c r="F300" t="s">
        <v>23</v>
      </c>
      <c r="G300" t="s">
        <v>17</v>
      </c>
      <c r="H300">
        <f>MONTH(Table1[[#This Row],[Date]])</f>
        <v>7</v>
      </c>
      <c r="I300" s="2">
        <f>WEEKDAY(Table1[[#This Row],[Date]])</f>
        <v>3</v>
      </c>
      <c r="J300">
        <f>Table1[[#This Row],[Credit]]-Table1[[#This Row],[Debit]]</f>
        <v>-150</v>
      </c>
    </row>
    <row r="301" spans="1:10">
      <c r="A301" s="1">
        <v>44747</v>
      </c>
      <c r="B301" t="s">
        <v>69</v>
      </c>
      <c r="C301">
        <v>15</v>
      </c>
      <c r="E301" t="s">
        <v>33</v>
      </c>
      <c r="F301" t="s">
        <v>16</v>
      </c>
      <c r="G301" t="s">
        <v>17</v>
      </c>
      <c r="H301">
        <f>MONTH(Table1[[#This Row],[Date]])</f>
        <v>7</v>
      </c>
      <c r="I301" s="2">
        <f>WEEKDAY(Table1[[#This Row],[Date]])</f>
        <v>3</v>
      </c>
      <c r="J301">
        <f>Table1[[#This Row],[Credit]]-Table1[[#This Row],[Debit]]</f>
        <v>-15</v>
      </c>
    </row>
    <row r="302" spans="1:10">
      <c r="A302" s="1">
        <v>44747</v>
      </c>
      <c r="B302" t="s">
        <v>14</v>
      </c>
      <c r="C302">
        <v>5</v>
      </c>
      <c r="E302" t="s">
        <v>15</v>
      </c>
      <c r="F302" t="s">
        <v>16</v>
      </c>
      <c r="G302" t="s">
        <v>17</v>
      </c>
      <c r="H302">
        <f>MONTH(Table1[[#This Row],[Date]])</f>
        <v>7</v>
      </c>
      <c r="I302" s="2">
        <f>WEEKDAY(Table1[[#This Row],[Date]])</f>
        <v>3</v>
      </c>
      <c r="J302">
        <f>Table1[[#This Row],[Credit]]-Table1[[#This Row],[Debit]]</f>
        <v>-5</v>
      </c>
    </row>
    <row r="303" spans="1:10">
      <c r="A303" s="1">
        <v>44748</v>
      </c>
      <c r="B303" t="s">
        <v>14</v>
      </c>
      <c r="C303">
        <v>5</v>
      </c>
      <c r="E303" t="s">
        <v>15</v>
      </c>
      <c r="F303" t="s">
        <v>16</v>
      </c>
      <c r="G303" t="s">
        <v>17</v>
      </c>
      <c r="H303">
        <f>MONTH(Table1[[#This Row],[Date]])</f>
        <v>7</v>
      </c>
      <c r="I303" s="2">
        <f>WEEKDAY(Table1[[#This Row],[Date]])</f>
        <v>4</v>
      </c>
      <c r="J303">
        <f>Table1[[#This Row],[Credit]]-Table1[[#This Row],[Debit]]</f>
        <v>-5</v>
      </c>
    </row>
    <row r="304" spans="1:10">
      <c r="A304" s="1">
        <v>44749</v>
      </c>
      <c r="B304" t="s">
        <v>14</v>
      </c>
      <c r="C304">
        <v>5</v>
      </c>
      <c r="E304" t="s">
        <v>15</v>
      </c>
      <c r="F304" t="s">
        <v>16</v>
      </c>
      <c r="G304" t="s">
        <v>17</v>
      </c>
      <c r="H304">
        <f>MONTH(Table1[[#This Row],[Date]])</f>
        <v>7</v>
      </c>
      <c r="I304" s="2">
        <f>WEEKDAY(Table1[[#This Row],[Date]])</f>
        <v>5</v>
      </c>
      <c r="J304">
        <f>Table1[[#This Row],[Credit]]-Table1[[#This Row],[Debit]]</f>
        <v>-5</v>
      </c>
    </row>
    <row r="305" spans="1:10">
      <c r="A305" s="1">
        <v>44749</v>
      </c>
      <c r="B305" t="s">
        <v>18</v>
      </c>
      <c r="C305">
        <v>180</v>
      </c>
      <c r="E305" t="s">
        <v>19</v>
      </c>
      <c r="F305" t="s">
        <v>20</v>
      </c>
      <c r="G305" t="s">
        <v>17</v>
      </c>
      <c r="H305">
        <f>MONTH(Table1[[#This Row],[Date]])</f>
        <v>7</v>
      </c>
      <c r="I305" s="2">
        <f>WEEKDAY(Table1[[#This Row],[Date]])</f>
        <v>5</v>
      </c>
      <c r="J305">
        <f>Table1[[#This Row],[Credit]]-Table1[[#This Row],[Debit]]</f>
        <v>-180</v>
      </c>
    </row>
    <row r="306" spans="1:10">
      <c r="A306" s="1">
        <v>44752</v>
      </c>
      <c r="B306" t="s">
        <v>24</v>
      </c>
      <c r="C306">
        <v>56.1</v>
      </c>
      <c r="E306" t="s">
        <v>25</v>
      </c>
      <c r="F306" t="s">
        <v>20</v>
      </c>
      <c r="G306" t="s">
        <v>17</v>
      </c>
      <c r="H306">
        <f>MONTH(Table1[[#This Row],[Date]])</f>
        <v>7</v>
      </c>
      <c r="I306" s="2">
        <f>WEEKDAY(Table1[[#This Row],[Date]])</f>
        <v>1</v>
      </c>
      <c r="J306">
        <f>Table1[[#This Row],[Credit]]-Table1[[#This Row],[Debit]]</f>
        <v>-56.1</v>
      </c>
    </row>
    <row r="307" spans="1:10">
      <c r="A307" s="1">
        <v>44752</v>
      </c>
      <c r="B307" t="s">
        <v>14</v>
      </c>
      <c r="C307">
        <v>5</v>
      </c>
      <c r="E307" t="s">
        <v>15</v>
      </c>
      <c r="F307" t="s">
        <v>16</v>
      </c>
      <c r="G307" t="s">
        <v>17</v>
      </c>
      <c r="H307">
        <f>MONTH(Table1[[#This Row],[Date]])</f>
        <v>7</v>
      </c>
      <c r="I307" s="2">
        <f>WEEKDAY(Table1[[#This Row],[Date]])</f>
        <v>1</v>
      </c>
      <c r="J307">
        <f>Table1[[#This Row],[Credit]]-Table1[[#This Row],[Debit]]</f>
        <v>-5</v>
      </c>
    </row>
    <row r="308" spans="1:10">
      <c r="A308" s="1">
        <v>44753</v>
      </c>
      <c r="B308" t="s">
        <v>14</v>
      </c>
      <c r="C308">
        <v>5</v>
      </c>
      <c r="E308" t="s">
        <v>15</v>
      </c>
      <c r="F308" t="s">
        <v>16</v>
      </c>
      <c r="G308" t="s">
        <v>17</v>
      </c>
      <c r="H308">
        <f>MONTH(Table1[[#This Row],[Date]])</f>
        <v>7</v>
      </c>
      <c r="I308" s="2">
        <f>WEEKDAY(Table1[[#This Row],[Date]])</f>
        <v>2</v>
      </c>
      <c r="J308">
        <f>Table1[[#This Row],[Credit]]-Table1[[#This Row],[Debit]]</f>
        <v>-5</v>
      </c>
    </row>
    <row r="309" spans="1:10">
      <c r="A309" s="1">
        <v>44754</v>
      </c>
      <c r="B309" t="s">
        <v>26</v>
      </c>
      <c r="C309">
        <v>83.1</v>
      </c>
      <c r="E309" t="s">
        <v>52</v>
      </c>
      <c r="F309" t="s">
        <v>39</v>
      </c>
      <c r="G309" t="s">
        <v>17</v>
      </c>
      <c r="H309">
        <f>MONTH(Table1[[#This Row],[Date]])</f>
        <v>7</v>
      </c>
      <c r="I309" s="2">
        <f>WEEKDAY(Table1[[#This Row],[Date]])</f>
        <v>3</v>
      </c>
      <c r="J309">
        <f>Table1[[#This Row],[Credit]]-Table1[[#This Row],[Debit]]</f>
        <v>-83.1</v>
      </c>
    </row>
    <row r="310" spans="1:10">
      <c r="A310" s="1">
        <v>44754</v>
      </c>
      <c r="B310" t="s">
        <v>14</v>
      </c>
      <c r="C310">
        <v>5</v>
      </c>
      <c r="E310" t="s">
        <v>15</v>
      </c>
      <c r="F310" t="s">
        <v>16</v>
      </c>
      <c r="G310" t="s">
        <v>17</v>
      </c>
      <c r="H310">
        <f>MONTH(Table1[[#This Row],[Date]])</f>
        <v>7</v>
      </c>
      <c r="I310" s="2">
        <f>WEEKDAY(Table1[[#This Row],[Date]])</f>
        <v>3</v>
      </c>
      <c r="J310">
        <f>Table1[[#This Row],[Credit]]-Table1[[#This Row],[Debit]]</f>
        <v>-5</v>
      </c>
    </row>
    <row r="311" spans="1:10">
      <c r="A311" s="1">
        <v>44755</v>
      </c>
      <c r="B311" t="s">
        <v>14</v>
      </c>
      <c r="C311">
        <v>5</v>
      </c>
      <c r="E311" t="s">
        <v>15</v>
      </c>
      <c r="F311" t="s">
        <v>16</v>
      </c>
      <c r="G311" t="s">
        <v>17</v>
      </c>
      <c r="H311">
        <f>MONTH(Table1[[#This Row],[Date]])</f>
        <v>7</v>
      </c>
      <c r="I311" s="2">
        <f>WEEKDAY(Table1[[#This Row],[Date]])</f>
        <v>4</v>
      </c>
      <c r="J311">
        <f>Table1[[#This Row],[Credit]]-Table1[[#This Row],[Debit]]</f>
        <v>-5</v>
      </c>
    </row>
    <row r="312" spans="1:10">
      <c r="A312" s="1">
        <v>44756</v>
      </c>
      <c r="B312" t="s">
        <v>18</v>
      </c>
      <c r="C312">
        <v>141.1</v>
      </c>
      <c r="E312" t="s">
        <v>19</v>
      </c>
      <c r="F312" t="s">
        <v>20</v>
      </c>
      <c r="G312" t="s">
        <v>17</v>
      </c>
      <c r="H312">
        <f>MONTH(Table1[[#This Row],[Date]])</f>
        <v>7</v>
      </c>
      <c r="I312" s="2">
        <f>WEEKDAY(Table1[[#This Row],[Date]])</f>
        <v>5</v>
      </c>
      <c r="J312">
        <f>Table1[[#This Row],[Credit]]-Table1[[#This Row],[Debit]]</f>
        <v>-141.1</v>
      </c>
    </row>
    <row r="313" spans="1:10">
      <c r="A313" s="1">
        <v>44756</v>
      </c>
      <c r="B313" t="s">
        <v>14</v>
      </c>
      <c r="C313">
        <v>5</v>
      </c>
      <c r="E313" t="s">
        <v>15</v>
      </c>
      <c r="F313" t="s">
        <v>16</v>
      </c>
      <c r="G313" t="s">
        <v>17</v>
      </c>
      <c r="H313">
        <f>MONTH(Table1[[#This Row],[Date]])</f>
        <v>7</v>
      </c>
      <c r="I313" s="2">
        <f>WEEKDAY(Table1[[#This Row],[Date]])</f>
        <v>5</v>
      </c>
      <c r="J313">
        <f>Table1[[#This Row],[Credit]]-Table1[[#This Row],[Debit]]</f>
        <v>-5</v>
      </c>
    </row>
    <row r="314" spans="1:10">
      <c r="A314" s="1">
        <v>44757</v>
      </c>
      <c r="B314" t="s">
        <v>14</v>
      </c>
      <c r="C314">
        <v>5</v>
      </c>
      <c r="E314" t="s">
        <v>15</v>
      </c>
      <c r="F314" t="s">
        <v>16</v>
      </c>
      <c r="G314" t="s">
        <v>17</v>
      </c>
      <c r="H314">
        <f>MONTH(Table1[[#This Row],[Date]])</f>
        <v>7</v>
      </c>
      <c r="I314" s="2">
        <f>WEEKDAY(Table1[[#This Row],[Date]])</f>
        <v>6</v>
      </c>
      <c r="J314">
        <f>Table1[[#This Row],[Credit]]-Table1[[#This Row],[Debit]]</f>
        <v>-5</v>
      </c>
    </row>
    <row r="315" spans="1:10">
      <c r="A315" s="1">
        <v>44757</v>
      </c>
      <c r="B315" t="s">
        <v>27</v>
      </c>
      <c r="C315">
        <v>45.8</v>
      </c>
      <c r="E315" t="s">
        <v>28</v>
      </c>
      <c r="F315" t="s">
        <v>29</v>
      </c>
      <c r="G315" t="s">
        <v>17</v>
      </c>
      <c r="H315">
        <f>MONTH(Table1[[#This Row],[Date]])</f>
        <v>7</v>
      </c>
      <c r="I315" s="2">
        <f>WEEKDAY(Table1[[#This Row],[Date]])</f>
        <v>6</v>
      </c>
      <c r="J315">
        <f>Table1[[#This Row],[Credit]]-Table1[[#This Row],[Debit]]</f>
        <v>-45.8</v>
      </c>
    </row>
    <row r="316" spans="1:10">
      <c r="A316" s="1">
        <v>44757</v>
      </c>
      <c r="B316" t="s">
        <v>87</v>
      </c>
      <c r="C316">
        <v>103.80000000000001</v>
      </c>
      <c r="E316" t="s">
        <v>31</v>
      </c>
      <c r="F316" t="s">
        <v>29</v>
      </c>
      <c r="G316" t="s">
        <v>17</v>
      </c>
      <c r="H316">
        <f>MONTH(Table1[[#This Row],[Date]])</f>
        <v>7</v>
      </c>
      <c r="I316" s="2">
        <f>WEEKDAY(Table1[[#This Row],[Date]])</f>
        <v>6</v>
      </c>
      <c r="J316">
        <f>Table1[[#This Row],[Credit]]-Table1[[#This Row],[Debit]]</f>
        <v>-103.80000000000001</v>
      </c>
    </row>
    <row r="317" spans="1:10">
      <c r="A317" s="1">
        <v>44757</v>
      </c>
      <c r="B317" t="s">
        <v>32</v>
      </c>
      <c r="C317">
        <v>58</v>
      </c>
      <c r="E317" t="s">
        <v>33</v>
      </c>
      <c r="F317" t="s">
        <v>16</v>
      </c>
      <c r="G317" t="s">
        <v>17</v>
      </c>
      <c r="H317">
        <f>MONTH(Table1[[#This Row],[Date]])</f>
        <v>7</v>
      </c>
      <c r="I317" s="2">
        <f>WEEKDAY(Table1[[#This Row],[Date]])</f>
        <v>6</v>
      </c>
      <c r="J317">
        <f>Table1[[#This Row],[Credit]]-Table1[[#This Row],[Debit]]</f>
        <v>-58</v>
      </c>
    </row>
    <row r="318" spans="1:10">
      <c r="A318" s="1">
        <v>44758</v>
      </c>
      <c r="B318" t="s">
        <v>37</v>
      </c>
      <c r="C318">
        <v>34.200000000000003</v>
      </c>
      <c r="E318" t="s">
        <v>38</v>
      </c>
      <c r="F318" t="s">
        <v>39</v>
      </c>
      <c r="G318" t="s">
        <v>17</v>
      </c>
      <c r="H318">
        <f>MONTH(Table1[[#This Row],[Date]])</f>
        <v>7</v>
      </c>
      <c r="I318" s="2">
        <f>WEEKDAY(Table1[[#This Row],[Date]])</f>
        <v>7</v>
      </c>
      <c r="J318">
        <f>Table1[[#This Row],[Credit]]-Table1[[#This Row],[Debit]]</f>
        <v>-34.200000000000003</v>
      </c>
    </row>
    <row r="319" spans="1:10">
      <c r="A319" s="1">
        <v>44759</v>
      </c>
      <c r="B319" t="s">
        <v>13</v>
      </c>
      <c r="D319">
        <v>200</v>
      </c>
      <c r="E319" t="s">
        <v>40</v>
      </c>
      <c r="F319" t="s">
        <v>41</v>
      </c>
      <c r="G319" t="s">
        <v>13</v>
      </c>
      <c r="H319">
        <f>MONTH(Table1[[#This Row],[Date]])</f>
        <v>7</v>
      </c>
      <c r="I319" s="2">
        <f>WEEKDAY(Table1[[#This Row],[Date]])</f>
        <v>1</v>
      </c>
      <c r="J319">
        <f>Table1[[#This Row],[Credit]]-Table1[[#This Row],[Debit]]</f>
        <v>200</v>
      </c>
    </row>
    <row r="320" spans="1:10">
      <c r="A320" s="1">
        <v>44759</v>
      </c>
      <c r="B320" t="s">
        <v>14</v>
      </c>
      <c r="C320">
        <v>5</v>
      </c>
      <c r="E320" t="s">
        <v>15</v>
      </c>
      <c r="F320" t="s">
        <v>16</v>
      </c>
      <c r="G320" t="s">
        <v>17</v>
      </c>
      <c r="H320">
        <f>MONTH(Table1[[#This Row],[Date]])</f>
        <v>7</v>
      </c>
      <c r="I320" s="2">
        <f>WEEKDAY(Table1[[#This Row],[Date]])</f>
        <v>1</v>
      </c>
      <c r="J320">
        <f>Table1[[#This Row],[Credit]]-Table1[[#This Row],[Debit]]</f>
        <v>-5</v>
      </c>
    </row>
    <row r="321" spans="1:10">
      <c r="A321" s="1">
        <v>44760</v>
      </c>
      <c r="B321" t="s">
        <v>14</v>
      </c>
      <c r="C321">
        <v>5</v>
      </c>
      <c r="E321" t="s">
        <v>15</v>
      </c>
      <c r="F321" t="s">
        <v>16</v>
      </c>
      <c r="G321" t="s">
        <v>17</v>
      </c>
      <c r="H321">
        <f>MONTH(Table1[[#This Row],[Date]])</f>
        <v>7</v>
      </c>
      <c r="I321" s="2">
        <f>WEEKDAY(Table1[[#This Row],[Date]])</f>
        <v>2</v>
      </c>
      <c r="J321">
        <f>Table1[[#This Row],[Credit]]-Table1[[#This Row],[Debit]]</f>
        <v>-5</v>
      </c>
    </row>
    <row r="322" spans="1:10">
      <c r="A322" s="1">
        <v>44760</v>
      </c>
      <c r="B322" t="s">
        <v>43</v>
      </c>
      <c r="C322">
        <v>40</v>
      </c>
      <c r="E322" t="s">
        <v>43</v>
      </c>
      <c r="F322" t="s">
        <v>20</v>
      </c>
      <c r="G322" t="s">
        <v>17</v>
      </c>
      <c r="H322">
        <f>MONTH(Table1[[#This Row],[Date]])</f>
        <v>7</v>
      </c>
      <c r="I322" s="2">
        <f>WEEKDAY(Table1[[#This Row],[Date]])</f>
        <v>2</v>
      </c>
      <c r="J322">
        <f>Table1[[#This Row],[Credit]]-Table1[[#This Row],[Debit]]</f>
        <v>-40</v>
      </c>
    </row>
    <row r="323" spans="1:10">
      <c r="A323" s="1">
        <v>44761</v>
      </c>
      <c r="B323" t="s">
        <v>44</v>
      </c>
      <c r="C323">
        <v>51.1</v>
      </c>
      <c r="E323" t="s">
        <v>45</v>
      </c>
      <c r="F323" t="s">
        <v>29</v>
      </c>
      <c r="G323" t="s">
        <v>17</v>
      </c>
      <c r="H323">
        <f>MONTH(Table1[[#This Row],[Date]])</f>
        <v>7</v>
      </c>
      <c r="I323" s="2">
        <f>WEEKDAY(Table1[[#This Row],[Date]])</f>
        <v>3</v>
      </c>
      <c r="J323">
        <f>Table1[[#This Row],[Credit]]-Table1[[#This Row],[Debit]]</f>
        <v>-51.1</v>
      </c>
    </row>
    <row r="324" spans="1:10">
      <c r="A324" s="1">
        <v>44761</v>
      </c>
      <c r="B324" t="s">
        <v>46</v>
      </c>
      <c r="C324">
        <v>35</v>
      </c>
      <c r="E324" t="s">
        <v>28</v>
      </c>
      <c r="F324" t="s">
        <v>29</v>
      </c>
      <c r="G324" t="s">
        <v>17</v>
      </c>
      <c r="H324">
        <f>MONTH(Table1[[#This Row],[Date]])</f>
        <v>7</v>
      </c>
      <c r="I324" s="2">
        <f>WEEKDAY(Table1[[#This Row],[Date]])</f>
        <v>3</v>
      </c>
      <c r="J324">
        <f>Table1[[#This Row],[Credit]]-Table1[[#This Row],[Debit]]</f>
        <v>-35</v>
      </c>
    </row>
    <row r="325" spans="1:10">
      <c r="A325" s="1">
        <v>44761</v>
      </c>
      <c r="B325" t="s">
        <v>14</v>
      </c>
      <c r="C325">
        <v>5</v>
      </c>
      <c r="E325" t="s">
        <v>15</v>
      </c>
      <c r="F325" t="s">
        <v>16</v>
      </c>
      <c r="G325" t="s">
        <v>17</v>
      </c>
      <c r="H325">
        <f>MONTH(Table1[[#This Row],[Date]])</f>
        <v>7</v>
      </c>
      <c r="I325" s="2">
        <f>WEEKDAY(Table1[[#This Row],[Date]])</f>
        <v>3</v>
      </c>
      <c r="J325">
        <f>Table1[[#This Row],[Credit]]-Table1[[#This Row],[Debit]]</f>
        <v>-5</v>
      </c>
    </row>
    <row r="326" spans="1:10">
      <c r="A326" s="1">
        <v>44762</v>
      </c>
      <c r="B326" t="s">
        <v>14</v>
      </c>
      <c r="C326">
        <v>5</v>
      </c>
      <c r="E326" t="s">
        <v>15</v>
      </c>
      <c r="F326" t="s">
        <v>16</v>
      </c>
      <c r="G326" t="s">
        <v>17</v>
      </c>
      <c r="H326">
        <f>MONTH(Table1[[#This Row],[Date]])</f>
        <v>7</v>
      </c>
      <c r="I326" s="2">
        <f>WEEKDAY(Table1[[#This Row],[Date]])</f>
        <v>4</v>
      </c>
      <c r="J326">
        <f>Table1[[#This Row],[Credit]]-Table1[[#This Row],[Debit]]</f>
        <v>-5</v>
      </c>
    </row>
    <row r="327" spans="1:10">
      <c r="A327" s="1">
        <v>44763</v>
      </c>
      <c r="B327" t="s">
        <v>14</v>
      </c>
      <c r="C327">
        <v>5</v>
      </c>
      <c r="E327" t="s">
        <v>15</v>
      </c>
      <c r="F327" t="s">
        <v>16</v>
      </c>
      <c r="G327" t="s">
        <v>17</v>
      </c>
      <c r="H327">
        <f>MONTH(Table1[[#This Row],[Date]])</f>
        <v>7</v>
      </c>
      <c r="I327" s="2">
        <f>WEEKDAY(Table1[[#This Row],[Date]])</f>
        <v>5</v>
      </c>
      <c r="J327">
        <f>Table1[[#This Row],[Credit]]-Table1[[#This Row],[Debit]]</f>
        <v>-5</v>
      </c>
    </row>
    <row r="328" spans="1:10">
      <c r="A328" s="1">
        <v>44763</v>
      </c>
      <c r="B328" t="s">
        <v>18</v>
      </c>
      <c r="C328">
        <v>176</v>
      </c>
      <c r="E328" t="s">
        <v>19</v>
      </c>
      <c r="F328" t="s">
        <v>20</v>
      </c>
      <c r="G328" t="s">
        <v>17</v>
      </c>
      <c r="H328">
        <f>MONTH(Table1[[#This Row],[Date]])</f>
        <v>7</v>
      </c>
      <c r="I328" s="2">
        <f>WEEKDAY(Table1[[#This Row],[Date]])</f>
        <v>5</v>
      </c>
      <c r="J328">
        <f>Table1[[#This Row],[Credit]]-Table1[[#This Row],[Debit]]</f>
        <v>-176</v>
      </c>
    </row>
    <row r="329" spans="1:10">
      <c r="A329" s="1">
        <v>44764</v>
      </c>
      <c r="B329" t="s">
        <v>88</v>
      </c>
      <c r="C329">
        <v>43.1</v>
      </c>
      <c r="E329" t="s">
        <v>33</v>
      </c>
      <c r="F329" t="s">
        <v>16</v>
      </c>
      <c r="G329" t="s">
        <v>17</v>
      </c>
      <c r="H329">
        <f>MONTH(Table1[[#This Row],[Date]])</f>
        <v>7</v>
      </c>
      <c r="I329" s="2">
        <f>WEEKDAY(Table1[[#This Row],[Date]])</f>
        <v>6</v>
      </c>
      <c r="J329">
        <f>Table1[[#This Row],[Credit]]-Table1[[#This Row],[Debit]]</f>
        <v>-43.1</v>
      </c>
    </row>
    <row r="330" spans="1:10">
      <c r="A330" s="1">
        <v>44765</v>
      </c>
      <c r="B330" t="s">
        <v>89</v>
      </c>
      <c r="C330">
        <v>18.2</v>
      </c>
      <c r="E330" t="s">
        <v>33</v>
      </c>
      <c r="F330" t="s">
        <v>16</v>
      </c>
      <c r="G330" t="s">
        <v>17</v>
      </c>
      <c r="H330">
        <f>MONTH(Table1[[#This Row],[Date]])</f>
        <v>7</v>
      </c>
      <c r="I330" s="2">
        <f>WEEKDAY(Table1[[#This Row],[Date]])</f>
        <v>7</v>
      </c>
      <c r="J330">
        <f>Table1[[#This Row],[Credit]]-Table1[[#This Row],[Debit]]</f>
        <v>-18.2</v>
      </c>
    </row>
    <row r="331" spans="1:10">
      <c r="A331" s="1">
        <v>44766</v>
      </c>
      <c r="B331" t="s">
        <v>49</v>
      </c>
      <c r="C331">
        <v>55</v>
      </c>
      <c r="E331" t="s">
        <v>50</v>
      </c>
      <c r="F331" t="s">
        <v>51</v>
      </c>
      <c r="G331" t="s">
        <v>17</v>
      </c>
      <c r="H331">
        <f>MONTH(Table1[[#This Row],[Date]])</f>
        <v>7</v>
      </c>
      <c r="I331" s="2">
        <f>WEEKDAY(Table1[[#This Row],[Date]])</f>
        <v>1</v>
      </c>
      <c r="J331">
        <f>Table1[[#This Row],[Credit]]-Table1[[#This Row],[Debit]]</f>
        <v>-55</v>
      </c>
    </row>
    <row r="332" spans="1:10">
      <c r="A332" s="1">
        <v>44766</v>
      </c>
      <c r="B332" t="s">
        <v>26</v>
      </c>
      <c r="C332">
        <v>68.800000000000011</v>
      </c>
      <c r="E332" t="s">
        <v>52</v>
      </c>
      <c r="F332" t="s">
        <v>39</v>
      </c>
      <c r="G332" t="s">
        <v>17</v>
      </c>
      <c r="H332">
        <f>MONTH(Table1[[#This Row],[Date]])</f>
        <v>7</v>
      </c>
      <c r="I332" s="2">
        <f>WEEKDAY(Table1[[#This Row],[Date]])</f>
        <v>1</v>
      </c>
      <c r="J332">
        <f>Table1[[#This Row],[Credit]]-Table1[[#This Row],[Debit]]</f>
        <v>-68.800000000000011</v>
      </c>
    </row>
    <row r="333" spans="1:10">
      <c r="A333" s="1">
        <v>44766</v>
      </c>
      <c r="B333" t="s">
        <v>67</v>
      </c>
      <c r="C333">
        <v>130</v>
      </c>
      <c r="E333" t="s">
        <v>35</v>
      </c>
      <c r="F333" t="s">
        <v>36</v>
      </c>
      <c r="G333" t="s">
        <v>17</v>
      </c>
      <c r="H333" s="3">
        <f>MONTH(Table1[[#This Row],[Date]])</f>
        <v>7</v>
      </c>
      <c r="I333" s="2">
        <f>WEEKDAY(Table1[[#This Row],[Date]])</f>
        <v>1</v>
      </c>
      <c r="J333" s="3">
        <f>Table1[[#This Row],[Credit]]-Table1[[#This Row],[Debit]]</f>
        <v>-130</v>
      </c>
    </row>
    <row r="334" spans="1:10">
      <c r="A334" s="1">
        <v>44766</v>
      </c>
      <c r="B334" t="s">
        <v>14</v>
      </c>
      <c r="C334">
        <v>5</v>
      </c>
      <c r="E334" t="s">
        <v>15</v>
      </c>
      <c r="F334" t="s">
        <v>16</v>
      </c>
      <c r="G334" t="s">
        <v>17</v>
      </c>
      <c r="H334">
        <f>MONTH(Table1[[#This Row],[Date]])</f>
        <v>7</v>
      </c>
      <c r="I334" s="2">
        <f>WEEKDAY(Table1[[#This Row],[Date]])</f>
        <v>1</v>
      </c>
      <c r="J334">
        <f>Table1[[#This Row],[Credit]]-Table1[[#This Row],[Debit]]</f>
        <v>-5</v>
      </c>
    </row>
    <row r="335" spans="1:10">
      <c r="A335" s="1">
        <v>44767</v>
      </c>
      <c r="B335" t="s">
        <v>14</v>
      </c>
      <c r="C335">
        <v>5</v>
      </c>
      <c r="E335" t="s">
        <v>15</v>
      </c>
      <c r="F335" t="s">
        <v>16</v>
      </c>
      <c r="G335" t="s">
        <v>17</v>
      </c>
      <c r="H335">
        <f>MONTH(Table1[[#This Row],[Date]])</f>
        <v>7</v>
      </c>
      <c r="I335" s="2">
        <f>WEEKDAY(Table1[[#This Row],[Date]])</f>
        <v>2</v>
      </c>
      <c r="J335">
        <f>Table1[[#This Row],[Credit]]-Table1[[#This Row],[Debit]]</f>
        <v>-5</v>
      </c>
    </row>
    <row r="336" spans="1:10">
      <c r="A336" s="1">
        <v>44768</v>
      </c>
      <c r="B336" t="s">
        <v>14</v>
      </c>
      <c r="C336">
        <v>5</v>
      </c>
      <c r="E336" t="s">
        <v>15</v>
      </c>
      <c r="F336" t="s">
        <v>16</v>
      </c>
      <c r="G336" t="s">
        <v>17</v>
      </c>
      <c r="H336">
        <f>MONTH(Table1[[#This Row],[Date]])</f>
        <v>7</v>
      </c>
      <c r="I336" s="2">
        <f>WEEKDAY(Table1[[#This Row],[Date]])</f>
        <v>3</v>
      </c>
      <c r="J336">
        <f>Table1[[#This Row],[Credit]]-Table1[[#This Row],[Debit]]</f>
        <v>-5</v>
      </c>
    </row>
    <row r="337" spans="1:10">
      <c r="A337" s="1">
        <v>44769</v>
      </c>
      <c r="B337" t="s">
        <v>14</v>
      </c>
      <c r="C337">
        <v>5</v>
      </c>
      <c r="E337" t="s">
        <v>15</v>
      </c>
      <c r="F337" t="s">
        <v>16</v>
      </c>
      <c r="G337" t="s">
        <v>17</v>
      </c>
      <c r="H337">
        <f>MONTH(Table1[[#This Row],[Date]])</f>
        <v>7</v>
      </c>
      <c r="I337" s="2">
        <f>WEEKDAY(Table1[[#This Row],[Date]])</f>
        <v>4</v>
      </c>
      <c r="J337">
        <f>Table1[[#This Row],[Credit]]-Table1[[#This Row],[Debit]]</f>
        <v>-5</v>
      </c>
    </row>
    <row r="338" spans="1:10">
      <c r="A338" s="1">
        <v>44770</v>
      </c>
      <c r="B338" t="s">
        <v>14</v>
      </c>
      <c r="C338">
        <v>5</v>
      </c>
      <c r="E338" t="s">
        <v>15</v>
      </c>
      <c r="F338" t="s">
        <v>16</v>
      </c>
      <c r="G338" t="s">
        <v>17</v>
      </c>
      <c r="H338">
        <f>MONTH(Table1[[#This Row],[Date]])</f>
        <v>7</v>
      </c>
      <c r="I338" s="2">
        <f>WEEKDAY(Table1[[#This Row],[Date]])</f>
        <v>5</v>
      </c>
      <c r="J338">
        <f>Table1[[#This Row],[Credit]]-Table1[[#This Row],[Debit]]</f>
        <v>-5</v>
      </c>
    </row>
    <row r="339" spans="1:10">
      <c r="A339" s="1">
        <v>44770</v>
      </c>
      <c r="B339" t="s">
        <v>18</v>
      </c>
      <c r="C339">
        <v>193</v>
      </c>
      <c r="E339" t="s">
        <v>19</v>
      </c>
      <c r="F339" t="s">
        <v>20</v>
      </c>
      <c r="G339" t="s">
        <v>17</v>
      </c>
      <c r="H339">
        <f>MONTH(Table1[[#This Row],[Date]])</f>
        <v>7</v>
      </c>
      <c r="I339" s="2">
        <f>WEEKDAY(Table1[[#This Row],[Date]])</f>
        <v>5</v>
      </c>
      <c r="J339">
        <f>Table1[[#This Row],[Credit]]-Table1[[#This Row],[Debit]]</f>
        <v>-193</v>
      </c>
    </row>
    <row r="340" spans="1:10">
      <c r="A340" s="1">
        <v>44771</v>
      </c>
      <c r="B340" t="s">
        <v>64</v>
      </c>
      <c r="C340">
        <v>130.80000000000001</v>
      </c>
      <c r="E340" t="s">
        <v>31</v>
      </c>
      <c r="F340" t="s">
        <v>29</v>
      </c>
      <c r="G340" t="s">
        <v>17</v>
      </c>
      <c r="H340">
        <f>MONTH(Table1[[#This Row],[Date]])</f>
        <v>7</v>
      </c>
      <c r="I340" s="2">
        <f>WEEKDAY(Table1[[#This Row],[Date]])</f>
        <v>6</v>
      </c>
      <c r="J340">
        <f>Table1[[#This Row],[Credit]]-Table1[[#This Row],[Debit]]</f>
        <v>-130.80000000000001</v>
      </c>
    </row>
    <row r="341" spans="1:10">
      <c r="A341" s="1">
        <v>44771</v>
      </c>
      <c r="B341" t="s">
        <v>81</v>
      </c>
      <c r="C341">
        <v>181.39999999999998</v>
      </c>
      <c r="E341" t="s">
        <v>82</v>
      </c>
      <c r="F341" t="s">
        <v>29</v>
      </c>
      <c r="G341" t="s">
        <v>17</v>
      </c>
      <c r="H341">
        <f>MONTH(Table1[[#This Row],[Date]])</f>
        <v>7</v>
      </c>
      <c r="I341" s="2">
        <f>WEEKDAY(Table1[[#This Row],[Date]])</f>
        <v>6</v>
      </c>
      <c r="J341">
        <f>Table1[[#This Row],[Credit]]-Table1[[#This Row],[Debit]]</f>
        <v>-181.39999999999998</v>
      </c>
    </row>
    <row r="342" spans="1:10">
      <c r="A342" s="1">
        <v>44772</v>
      </c>
      <c r="B342" t="s">
        <v>55</v>
      </c>
      <c r="C342">
        <v>151.19999999999999</v>
      </c>
      <c r="E342" t="s">
        <v>31</v>
      </c>
      <c r="F342" t="s">
        <v>29</v>
      </c>
      <c r="G342" t="s">
        <v>17</v>
      </c>
      <c r="H342">
        <f>MONTH(Table1[[#This Row],[Date]])</f>
        <v>7</v>
      </c>
      <c r="I342" s="2">
        <f>WEEKDAY(Table1[[#This Row],[Date]])</f>
        <v>7</v>
      </c>
      <c r="J342">
        <f>Table1[[#This Row],[Credit]]-Table1[[#This Row],[Debit]]</f>
        <v>-151.19999999999999</v>
      </c>
    </row>
    <row r="343" spans="1:10">
      <c r="A343" s="1">
        <v>44772</v>
      </c>
      <c r="B343" t="s">
        <v>37</v>
      </c>
      <c r="C343">
        <v>29.300000000000004</v>
      </c>
      <c r="E343" t="s">
        <v>38</v>
      </c>
      <c r="F343" t="s">
        <v>39</v>
      </c>
      <c r="G343" t="s">
        <v>17</v>
      </c>
      <c r="H343">
        <f>MONTH(Table1[[#This Row],[Date]])</f>
        <v>7</v>
      </c>
      <c r="I343" s="2">
        <f>WEEKDAY(Table1[[#This Row],[Date]])</f>
        <v>7</v>
      </c>
      <c r="J343">
        <f>Table1[[#This Row],[Credit]]-Table1[[#This Row],[Debit]]</f>
        <v>-29.300000000000004</v>
      </c>
    </row>
    <row r="344" spans="1:10">
      <c r="A344" s="1">
        <v>44772</v>
      </c>
      <c r="B344" t="s">
        <v>90</v>
      </c>
      <c r="C344">
        <v>15</v>
      </c>
      <c r="E344" t="s">
        <v>33</v>
      </c>
      <c r="F344" t="s">
        <v>16</v>
      </c>
      <c r="G344" t="s">
        <v>17</v>
      </c>
      <c r="H344">
        <f>MONTH(Table1[[#This Row],[Date]])</f>
        <v>7</v>
      </c>
      <c r="I344" s="2">
        <f>WEEKDAY(Table1[[#This Row],[Date]])</f>
        <v>7</v>
      </c>
      <c r="J344">
        <f>Table1[[#This Row],[Credit]]-Table1[[#This Row],[Debit]]</f>
        <v>-15</v>
      </c>
    </row>
    <row r="345" spans="1:10">
      <c r="A345" s="1">
        <v>44773</v>
      </c>
      <c r="B345" t="s">
        <v>14</v>
      </c>
      <c r="C345">
        <v>5</v>
      </c>
      <c r="E345" t="s">
        <v>15</v>
      </c>
      <c r="F345" t="s">
        <v>16</v>
      </c>
      <c r="G345" t="s">
        <v>17</v>
      </c>
      <c r="H345">
        <f>MONTH(Table1[[#This Row],[Date]])</f>
        <v>7</v>
      </c>
      <c r="I345" s="2">
        <f>WEEKDAY(Table1[[#This Row],[Date]])</f>
        <v>1</v>
      </c>
      <c r="J345">
        <f>Table1[[#This Row],[Credit]]-Table1[[#This Row],[Debit]]</f>
        <v>-5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HP</dc:creator>
  <cp:keywords/>
  <dc:description/>
  <cp:lastModifiedBy/>
  <cp:revision/>
  <dcterms:created xsi:type="dcterms:W3CDTF">2021-12-12T19:13:53Z</dcterms:created>
  <dcterms:modified xsi:type="dcterms:W3CDTF">2025-06-27T01:20:01Z</dcterms:modified>
  <cp:category/>
  <cp:contentStatus/>
</cp:coreProperties>
</file>